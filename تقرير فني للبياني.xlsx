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60" windowHeight="7515"/>
  </bookViews>
  <sheets>
    <sheet name="ورقة1" sheetId="1" r:id="rId1"/>
    <sheet name="ورقة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17" i="1" l="1"/>
  <c r="D27" i="1"/>
  <c r="E22" i="1" l="1"/>
  <c r="E23" i="1" s="1"/>
  <c r="E24" i="1" s="1"/>
  <c r="C22" i="1"/>
  <c r="C23" i="1" s="1"/>
  <c r="C24" i="1" l="1"/>
  <c r="D26" i="1"/>
</calcChain>
</file>

<file path=xl/sharedStrings.xml><?xml version="1.0" encoding="utf-8"?>
<sst xmlns="http://schemas.openxmlformats.org/spreadsheetml/2006/main" count="82" uniqueCount="72">
  <si>
    <t>عبدالباقي احمد</t>
  </si>
  <si>
    <t>عبدالمناف سليمان</t>
  </si>
  <si>
    <t>إبراهيم ممدوح</t>
  </si>
  <si>
    <t>عامر الحيجي</t>
  </si>
  <si>
    <t>إبراهيم طاهر</t>
  </si>
  <si>
    <t>حسين العلي</t>
  </si>
  <si>
    <t>عبود العمر</t>
  </si>
  <si>
    <t>أسماء مهندسي المدني</t>
  </si>
  <si>
    <t>أسماء مهندسي العمارة</t>
  </si>
  <si>
    <t>أسماء مهندسي الجيوتكنيك</t>
  </si>
  <si>
    <t>هيفي عابد</t>
  </si>
  <si>
    <t>عبدالباسط يوسف</t>
  </si>
  <si>
    <t>عبدالحميد احمد</t>
  </si>
  <si>
    <t>صالح إبراهيم</t>
  </si>
  <si>
    <t>احمد بهلوي</t>
  </si>
  <si>
    <t>محمد شيخ موسى</t>
  </si>
  <si>
    <t>تامار كنجويان</t>
  </si>
  <si>
    <t>محمد مصلح محمود</t>
  </si>
  <si>
    <t>عبدالحليم إبراهيم</t>
  </si>
  <si>
    <t>دلال النعمة</t>
  </si>
  <si>
    <t>عبدالرحمن ملا إبراهيم</t>
  </si>
  <si>
    <t>فاضل إبراهيم</t>
  </si>
  <si>
    <t>مروان بربندي</t>
  </si>
  <si>
    <t>محمود علي</t>
  </si>
  <si>
    <t>زيندان محمد</t>
  </si>
  <si>
    <t>افين إبراهيم</t>
  </si>
  <si>
    <t>رشا يونس</t>
  </si>
  <si>
    <t>هيفيدار محمد</t>
  </si>
  <si>
    <t>زياد البوش</t>
  </si>
  <si>
    <t>وليد ججو</t>
  </si>
  <si>
    <t>اعتدال الحيجي</t>
  </si>
  <si>
    <t>هبون الأحمد</t>
  </si>
  <si>
    <t>التوقيع</t>
  </si>
  <si>
    <t>مالية الغرفة: هدى بونجغ</t>
  </si>
  <si>
    <t>الرئاسة المشتركة لغرفة مهندسي كانتون الحسكة</t>
  </si>
  <si>
    <r>
      <t xml:space="preserve">حركة المجتمع الديمقراطي </t>
    </r>
    <r>
      <rPr>
        <b/>
        <sz val="12"/>
        <color theme="1"/>
        <rFont val="Calibri"/>
        <family val="2"/>
      </rPr>
      <t>TEV-DEM</t>
    </r>
  </si>
  <si>
    <t>اتحاد مهندسي شمال وشرق سوريا</t>
  </si>
  <si>
    <r>
      <t>غرفة مهندسي كانتون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Arial"/>
        <family val="2"/>
      </rPr>
      <t>الحسكة</t>
    </r>
    <r>
      <rPr>
        <b/>
        <sz val="12"/>
        <color theme="1"/>
        <rFont val="Calibri"/>
        <family val="2"/>
      </rPr>
      <t xml:space="preserve"> </t>
    </r>
  </si>
  <si>
    <r>
      <t xml:space="preserve">الرقم: </t>
    </r>
    <r>
      <rPr>
        <b/>
        <sz val="12"/>
        <color theme="1"/>
        <rFont val="Calibri"/>
        <family val="2"/>
      </rPr>
      <t xml:space="preserve">/ </t>
    </r>
    <r>
      <rPr>
        <b/>
        <sz val="12"/>
        <color theme="1"/>
        <rFont val="Arial"/>
        <family val="2"/>
      </rPr>
      <t xml:space="preserve">     </t>
    </r>
    <r>
      <rPr>
        <b/>
        <sz val="12"/>
        <color theme="1"/>
        <rFont val="Calibri"/>
        <family val="2"/>
      </rPr>
      <t xml:space="preserve">  /      </t>
    </r>
  </si>
  <si>
    <r>
      <t xml:space="preserve">التاريخ: </t>
    </r>
    <r>
      <rPr>
        <b/>
        <sz val="12"/>
        <color theme="1"/>
        <rFont val="Calibri"/>
        <family val="2"/>
      </rPr>
      <t xml:space="preserve">/       </t>
    </r>
    <r>
      <rPr>
        <b/>
        <sz val="12"/>
        <color theme="1"/>
        <rFont val="Arial"/>
        <family val="2"/>
      </rPr>
      <t xml:space="preserve">  </t>
    </r>
    <r>
      <rPr>
        <b/>
        <sz val="12"/>
        <color theme="1"/>
        <rFont val="Calibri"/>
        <family val="2"/>
      </rPr>
      <t xml:space="preserve">  /   </t>
    </r>
  </si>
  <si>
    <t>Tevgera Civaka Demokratîk TEV-DEM</t>
  </si>
  <si>
    <t>Yekîtiya Endezyarên Bakûr û Rojhilatê</t>
  </si>
  <si>
    <r>
      <t>Sûriyê</t>
    </r>
    <r>
      <rPr>
        <b/>
        <sz val="12"/>
        <color theme="1"/>
        <rFont val="Arial"/>
        <family val="2"/>
      </rPr>
      <t xml:space="preserve">                        </t>
    </r>
  </si>
  <si>
    <r>
      <t xml:space="preserve">  </t>
    </r>
    <r>
      <rPr>
        <b/>
        <sz val="12"/>
        <color theme="1"/>
        <rFont val="Calibri"/>
        <family val="2"/>
      </rPr>
      <t>Odeya Endezyarên Kantona Hesekê</t>
    </r>
  </si>
  <si>
    <t xml:space="preserve">        /   / : Dîrok</t>
  </si>
  <si>
    <t xml:space="preserve">        م. ذاكرة ولو   م. عبدالحليم إبراهيم</t>
  </si>
  <si>
    <t xml:space="preserve">حصة الاتحاد و الغرفة 10% </t>
  </si>
  <si>
    <t>إبراهيم شيخموس</t>
  </si>
  <si>
    <t xml:space="preserve">/   / : HIJMAR </t>
  </si>
  <si>
    <t>حصة كل مهندس</t>
  </si>
  <si>
    <t>اسم المهندس المعماري</t>
  </si>
  <si>
    <t xml:space="preserve">اسم المهندس المدني </t>
  </si>
  <si>
    <t>مدني الاستشاري</t>
  </si>
  <si>
    <t>مزاحم الرزة</t>
  </si>
  <si>
    <t>حصة الصندوق</t>
  </si>
  <si>
    <t>حصة المهندس الصافية</t>
  </si>
  <si>
    <t>خارج الصندوق بنسبة 10%</t>
  </si>
  <si>
    <t>داخل الصندوق بنسبة 40%</t>
  </si>
  <si>
    <t>داخل الصندوق بنسبة 25%</t>
  </si>
  <si>
    <t xml:space="preserve">مجموع الكلي للصناديق </t>
  </si>
  <si>
    <t>حصة الغرفة و الاتحاد</t>
  </si>
  <si>
    <t>المدقق المالي:م. محمد يوسف</t>
  </si>
  <si>
    <t>ريمون قرياقس قريو</t>
  </si>
  <si>
    <t>حسكة ثانية</t>
  </si>
  <si>
    <t>الـــــتقــــرير الفني للســــــيد :</t>
  </si>
  <si>
    <t>المنـــــــــطقة العــــــــــقارية:</t>
  </si>
  <si>
    <t>رقــــــــــم العــــــــــــقار</t>
  </si>
  <si>
    <t>المســــــــاحة الكلية العقار:</t>
  </si>
  <si>
    <t>رقم الايصـــــــــــــال:</t>
  </si>
  <si>
    <t>الكلفة الكلية للتـــــــــقرير</t>
  </si>
  <si>
    <t>ماسيتم توزيعه على المهندسين</t>
  </si>
  <si>
    <t>تـــــــــــقــــــــــرير الفـــــــــــــني للبيـــــــــــــاني  تاريخ 2025/11/7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</si>
</sst>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i/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20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5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left" vertical="center" readingOrder="2"/>
    </xf>
    <xf numFmtId="0" fontId="5" fillId="0" borderId="0" xfId="0" applyFont="1" applyAlignment="1">
      <alignment horizontal="left" vertical="center" readingOrder="2"/>
    </xf>
    <xf numFmtId="0" fontId="7" fillId="0" borderId="1" xfId="0" applyFont="1" applyBorder="1" applyAlignment="1">
      <alignment horizontal="right" vertical="center" readingOrder="2"/>
    </xf>
    <xf numFmtId="0" fontId="6" fillId="0" borderId="1" xfId="0" applyFont="1" applyBorder="1" applyAlignment="1">
      <alignment horizontal="left" vertical="center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8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7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center" readingOrder="2"/>
    </xf>
    <xf numFmtId="0" fontId="1" fillId="0" borderId="0" xfId="0" applyFont="1" applyBorder="1"/>
    <xf numFmtId="0" fontId="10" fillId="0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2" fillId="0" borderId="0" xfId="0" applyFont="1"/>
    <xf numFmtId="0" fontId="3" fillId="0" borderId="2" xfId="0" applyFont="1" applyBorder="1" applyAlignment="1">
      <alignment horizontal="center"/>
    </xf>
    <xf numFmtId="0" fontId="3" fillId="0" borderId="0" xfId="0" applyFont="1" applyBorder="1"/>
    <xf numFmtId="0" fontId="10" fillId="0" borderId="0" xfId="0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7" fillId="0" borderId="0" xfId="0" applyFont="1" applyAlignment="1">
      <alignment vertical="top"/>
    </xf>
    <xf numFmtId="0" fontId="7" fillId="0" borderId="1" xfId="0" applyFont="1" applyBorder="1" applyAlignment="1">
      <alignment vertical="top"/>
    </xf>
    <xf numFmtId="0" fontId="11" fillId="0" borderId="3" xfId="0" applyFont="1" applyBorder="1" applyAlignment="1" applyProtection="1">
      <alignment horizontal="center"/>
      <protection hidden="1"/>
    </xf>
    <xf numFmtId="0" fontId="11" fillId="0" borderId="4" xfId="0" applyFont="1" applyBorder="1" applyAlignment="1" applyProtection="1">
      <alignment horizontal="center"/>
      <protection hidden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2" fillId="2" borderId="6" xfId="0" applyFont="1" applyFill="1" applyBorder="1" applyAlignment="1"/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19051</xdr:colOff>
      <xdr:row>0</xdr:row>
      <xdr:rowOff>115815</xdr:rowOff>
    </xdr:from>
    <xdr:to>
      <xdr:col>3</xdr:col>
      <xdr:colOff>3952875</xdr:colOff>
      <xdr:row>6</xdr:row>
      <xdr:rowOff>9039</xdr:rowOff>
    </xdr:to>
    <xdr:pic>
      <xdr:nvPicPr>
        <xdr:cNvPr id="4" name="صورة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1" t="12270" r="12222" b="6979"/>
        <a:stretch>
          <a:fillRect/>
        </a:stretch>
      </xdr:blipFill>
      <xdr:spPr bwMode="auto">
        <a:xfrm>
          <a:off x="11237147325" y="115815"/>
          <a:ext cx="3933824" cy="1074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34"/>
  <sheetViews>
    <sheetView rightToLeft="1" tabSelected="1" topLeftCell="A8" workbookViewId="0">
      <selection activeCell="D11" sqref="D11:E11"/>
    </sheetView>
  </sheetViews>
  <sheetFormatPr defaultRowHeight="14.25" x14ac:dyDescent="0.2"/>
  <cols>
    <col min="2" max="2" width="27.125" customWidth="1"/>
    <col min="3" max="3" width="27.625" bestFit="1" customWidth="1"/>
    <col min="4" max="4" width="33.125" customWidth="1"/>
    <col min="5" max="5" width="44" bestFit="1" customWidth="1"/>
    <col min="6" max="6" width="22.5" bestFit="1" customWidth="1"/>
    <col min="10" max="10" width="11.375" bestFit="1" customWidth="1"/>
  </cols>
  <sheetData>
    <row r="2" spans="3:6" ht="15.75" x14ac:dyDescent="0.2">
      <c r="C2" s="2" t="s">
        <v>35</v>
      </c>
      <c r="D2" s="31"/>
      <c r="E2" s="3" t="s">
        <v>40</v>
      </c>
      <c r="F2" s="3"/>
    </row>
    <row r="3" spans="3:6" ht="15.75" x14ac:dyDescent="0.2">
      <c r="C3" s="2" t="s">
        <v>36</v>
      </c>
      <c r="D3" s="31"/>
      <c r="E3" s="3" t="s">
        <v>41</v>
      </c>
      <c r="F3" s="3"/>
    </row>
    <row r="4" spans="3:6" ht="15.75" x14ac:dyDescent="0.2">
      <c r="C4" s="2" t="s">
        <v>37</v>
      </c>
      <c r="D4" s="31"/>
      <c r="E4" s="3" t="s">
        <v>42</v>
      </c>
      <c r="F4" s="3"/>
    </row>
    <row r="5" spans="3:6" ht="15.75" x14ac:dyDescent="0.2">
      <c r="C5" s="2" t="s">
        <v>38</v>
      </c>
      <c r="D5" s="31"/>
      <c r="E5" s="4" t="s">
        <v>43</v>
      </c>
      <c r="F5" s="4"/>
    </row>
    <row r="6" spans="3:6" ht="15.75" x14ac:dyDescent="0.2">
      <c r="C6" s="2" t="s">
        <v>39</v>
      </c>
      <c r="D6" s="31"/>
      <c r="E6" s="3" t="s">
        <v>48</v>
      </c>
      <c r="F6" s="3"/>
    </row>
    <row r="7" spans="3:6" ht="16.5" thickBot="1" x14ac:dyDescent="0.25">
      <c r="C7" s="5"/>
      <c r="D7" s="32"/>
      <c r="E7" s="6" t="s">
        <v>44</v>
      </c>
      <c r="F7" s="6"/>
    </row>
    <row r="8" spans="3:6" ht="16.5" thickBot="1" x14ac:dyDescent="0.25">
      <c r="C8" s="18"/>
      <c r="D8" s="19"/>
      <c r="E8" s="20"/>
      <c r="F8" s="20"/>
    </row>
    <row r="9" spans="3:6" ht="24" thickBot="1" x14ac:dyDescent="0.25">
      <c r="C9" s="54" t="s">
        <v>71</v>
      </c>
      <c r="D9" s="55"/>
      <c r="E9" s="56"/>
      <c r="F9" s="20"/>
    </row>
    <row r="10" spans="3:6" ht="39.950000000000003" customHeight="1" x14ac:dyDescent="0.3">
      <c r="C10" s="51" t="s">
        <v>64</v>
      </c>
      <c r="D10" s="52" t="s">
        <v>62</v>
      </c>
      <c r="E10" s="53"/>
      <c r="F10" s="1"/>
    </row>
    <row r="11" spans="3:6" ht="39.950000000000003" customHeight="1" x14ac:dyDescent="0.35">
      <c r="C11" s="10" t="s">
        <v>65</v>
      </c>
      <c r="D11" s="35" t="s">
        <v>63</v>
      </c>
      <c r="E11" s="36"/>
      <c r="F11" s="1"/>
    </row>
    <row r="12" spans="3:6" ht="39.950000000000003" customHeight="1" x14ac:dyDescent="0.35">
      <c r="C12" s="10" t="s">
        <v>66</v>
      </c>
      <c r="D12" s="35">
        <v>143</v>
      </c>
      <c r="E12" s="36"/>
      <c r="F12" s="1"/>
    </row>
    <row r="13" spans="3:6" ht="39.950000000000003" customHeight="1" x14ac:dyDescent="0.35">
      <c r="C13" s="11" t="s">
        <v>67</v>
      </c>
      <c r="D13" s="35">
        <v>120</v>
      </c>
      <c r="E13" s="36"/>
      <c r="F13" s="1"/>
    </row>
    <row r="14" spans="3:6" ht="39.950000000000003" customHeight="1" x14ac:dyDescent="0.35">
      <c r="C14" s="11" t="s">
        <v>68</v>
      </c>
      <c r="D14" s="35"/>
      <c r="E14" s="36"/>
      <c r="F14" s="1"/>
    </row>
    <row r="15" spans="3:6" ht="39.950000000000003" customHeight="1" x14ac:dyDescent="0.4">
      <c r="C15" s="12" t="s">
        <v>69</v>
      </c>
      <c r="D15" s="33">
        <v>1040000</v>
      </c>
      <c r="E15" s="34"/>
      <c r="F15" s="1"/>
    </row>
    <row r="16" spans="3:6" ht="39.950000000000003" customHeight="1" x14ac:dyDescent="0.4">
      <c r="C16" s="13" t="s">
        <v>46</v>
      </c>
      <c r="D16" s="33">
        <f>D15*10%</f>
        <v>104000</v>
      </c>
      <c r="E16" s="34"/>
      <c r="F16" s="1"/>
    </row>
    <row r="17" spans="2:6" ht="23.25" x14ac:dyDescent="0.35">
      <c r="C17" s="50" t="s">
        <v>70</v>
      </c>
      <c r="D17" s="37">
        <f>D15-D16</f>
        <v>936000</v>
      </c>
      <c r="E17" s="37"/>
      <c r="F17" s="1"/>
    </row>
    <row r="18" spans="2:6" ht="23.25" x14ac:dyDescent="0.35">
      <c r="C18" s="15"/>
      <c r="D18" s="14"/>
      <c r="E18" s="14"/>
      <c r="F18" s="1"/>
    </row>
    <row r="19" spans="2:6" ht="50.1" customHeight="1" x14ac:dyDescent="0.4">
      <c r="C19" s="41" t="s">
        <v>51</v>
      </c>
      <c r="D19" s="41"/>
      <c r="E19" s="39" t="s">
        <v>50</v>
      </c>
      <c r="F19" s="26"/>
    </row>
    <row r="20" spans="2:6" ht="50.1" customHeight="1" x14ac:dyDescent="0.4">
      <c r="B20" s="16"/>
      <c r="C20" s="42" t="s">
        <v>10</v>
      </c>
      <c r="D20" s="42"/>
      <c r="E20" s="38" t="s">
        <v>47</v>
      </c>
      <c r="F20" s="15"/>
    </row>
    <row r="21" spans="2:6" ht="50.1" customHeight="1" x14ac:dyDescent="0.35">
      <c r="B21" s="16"/>
      <c r="C21" s="43" t="s">
        <v>58</v>
      </c>
      <c r="D21" s="43"/>
      <c r="E21" s="40" t="s">
        <v>58</v>
      </c>
      <c r="F21" s="15"/>
    </row>
    <row r="22" spans="2:6" ht="50.1" customHeight="1" x14ac:dyDescent="0.4">
      <c r="B22" s="44" t="s">
        <v>49</v>
      </c>
      <c r="C22" s="29">
        <f>D17*60%</f>
        <v>561600</v>
      </c>
      <c r="D22" s="29"/>
      <c r="E22" s="22">
        <f>D17*40%</f>
        <v>374400</v>
      </c>
      <c r="F22" s="28"/>
    </row>
    <row r="23" spans="2:6" ht="50.1" customHeight="1" x14ac:dyDescent="0.4">
      <c r="B23" s="45" t="s">
        <v>54</v>
      </c>
      <c r="C23" s="29">
        <f>IF(C21="داخل الصندوق بنسبة 25%",C22*25%,IF(C21="داخل الصندوق بنسبة 40%",C22*40%,IF(C21="خارج الصندوق بنسبة 10%",C22*10%)))</f>
        <v>140400</v>
      </c>
      <c r="D23" s="29"/>
      <c r="E23" s="23">
        <f>IF(E21="داخل الصندوق بنسبة 25%",E22*25%,IF(E21="داخل الصندوق بنسبة 40%",E22*40%,IF(E21="خارج الصندوق بنسبة 10%",E22*10%)))</f>
        <v>93600</v>
      </c>
      <c r="F23" s="27"/>
    </row>
    <row r="24" spans="2:6" ht="50.1" customHeight="1" x14ac:dyDescent="0.4">
      <c r="B24" s="46" t="s">
        <v>55</v>
      </c>
      <c r="C24" s="29">
        <f>C22-C23</f>
        <v>421200</v>
      </c>
      <c r="D24" s="29"/>
      <c r="E24" s="23">
        <f>E22-E23</f>
        <v>280800</v>
      </c>
      <c r="F24" s="27"/>
    </row>
    <row r="25" spans="2:6" ht="50.1" customHeight="1" x14ac:dyDescent="0.4">
      <c r="B25" s="47" t="s">
        <v>32</v>
      </c>
      <c r="C25" s="30"/>
      <c r="D25" s="30"/>
      <c r="E25" s="9"/>
      <c r="F25" s="21"/>
    </row>
    <row r="26" spans="2:6" ht="23.25" x14ac:dyDescent="0.35">
      <c r="B26" s="16"/>
      <c r="C26" s="48" t="s">
        <v>59</v>
      </c>
      <c r="D26" s="49">
        <f>SUM(C23:E23)</f>
        <v>234000</v>
      </c>
      <c r="E26" s="14"/>
      <c r="F26" s="21"/>
    </row>
    <row r="27" spans="2:6" ht="23.25" x14ac:dyDescent="0.35">
      <c r="C27" s="17" t="s">
        <v>60</v>
      </c>
      <c r="D27" s="9">
        <f>D16</f>
        <v>104000</v>
      </c>
      <c r="E27" s="14"/>
      <c r="F27" s="21"/>
    </row>
    <row r="28" spans="2:6" ht="23.25" x14ac:dyDescent="0.35">
      <c r="C28" s="15"/>
      <c r="D28" s="14"/>
      <c r="E28" s="14"/>
      <c r="F28" s="21"/>
    </row>
    <row r="29" spans="2:6" ht="23.25" x14ac:dyDescent="0.35">
      <c r="C29" s="15"/>
      <c r="D29" s="14"/>
      <c r="E29" s="14"/>
      <c r="F29" s="21"/>
    </row>
    <row r="30" spans="2:6" ht="18" x14ac:dyDescent="0.25">
      <c r="C30" s="25" t="s">
        <v>33</v>
      </c>
      <c r="E30" s="25" t="s">
        <v>61</v>
      </c>
      <c r="F30" s="8"/>
    </row>
    <row r="33" spans="5:7" ht="20.25" x14ac:dyDescent="0.3">
      <c r="E33" s="7" t="s">
        <v>34</v>
      </c>
      <c r="F33" s="7"/>
      <c r="G33" s="7"/>
    </row>
    <row r="34" spans="5:7" ht="18" x14ac:dyDescent="0.25">
      <c r="E34" s="8" t="s">
        <v>45</v>
      </c>
      <c r="F34" s="8"/>
      <c r="G34" s="8"/>
    </row>
  </sheetData>
  <mergeCells count="17">
    <mergeCell ref="D17:E17"/>
    <mergeCell ref="C25:D25"/>
    <mergeCell ref="D10:E10"/>
    <mergeCell ref="D2:D7"/>
    <mergeCell ref="D16:E16"/>
    <mergeCell ref="D11:E11"/>
    <mergeCell ref="D12:E12"/>
    <mergeCell ref="D13:E13"/>
    <mergeCell ref="D15:E15"/>
    <mergeCell ref="C9:E9"/>
    <mergeCell ref="D14:E14"/>
    <mergeCell ref="C24:D24"/>
    <mergeCell ref="C19:D19"/>
    <mergeCell ref="C20:D20"/>
    <mergeCell ref="C21:D21"/>
    <mergeCell ref="C22:D22"/>
    <mergeCell ref="C23:D23"/>
  </mergeCells>
  <pageMargins left="0.7" right="0.7" top="0.75" bottom="0.75" header="0.3" footer="0.3"/>
  <pageSetup paperSize="9" scale="49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ورقة2!$C$5:$C$7</xm:f>
          </x14:formula1>
          <xm:sqref>C21:D21 E21</xm:sqref>
        </x14:dataValidation>
        <x14:dataValidation type="list" allowBlank="1" showInputMessage="1" showErrorMessage="1">
          <x14:formula1>
            <xm:f>ورقة2!$J$6:$J$32</xm:f>
          </x14:formula1>
          <xm:sqref>C20:D20</xm:sqref>
        </x14:dataValidation>
        <x14:dataValidation type="list" allowBlank="1" showInputMessage="1" showErrorMessage="1">
          <x14:formula1>
            <xm:f>ورقة2!$L$6:$L$23</xm:f>
          </x14:formula1>
          <xm:sqref>E20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N23"/>
  <sheetViews>
    <sheetView rightToLeft="1" topLeftCell="A2" workbookViewId="0">
      <selection activeCell="C11" sqref="C11"/>
    </sheetView>
  </sheetViews>
  <sheetFormatPr defaultRowHeight="14.25" x14ac:dyDescent="0.2"/>
  <cols>
    <col min="3" max="3" width="20" bestFit="1" customWidth="1"/>
    <col min="8" max="8" width="11.375" bestFit="1" customWidth="1"/>
    <col min="10" max="10" width="13.75" bestFit="1" customWidth="1"/>
    <col min="12" max="12" width="14" bestFit="1" customWidth="1"/>
    <col min="14" max="14" width="16.375" bestFit="1" customWidth="1"/>
  </cols>
  <sheetData>
    <row r="5" spans="3:14" ht="15.75" x14ac:dyDescent="0.25">
      <c r="C5" s="24" t="s">
        <v>58</v>
      </c>
      <c r="H5" t="s">
        <v>52</v>
      </c>
      <c r="J5" t="s">
        <v>7</v>
      </c>
      <c r="L5" t="s">
        <v>8</v>
      </c>
      <c r="N5" t="s">
        <v>9</v>
      </c>
    </row>
    <row r="6" spans="3:14" ht="15.75" x14ac:dyDescent="0.25">
      <c r="C6" s="24" t="s">
        <v>56</v>
      </c>
      <c r="H6" t="s">
        <v>0</v>
      </c>
      <c r="J6" t="s">
        <v>0</v>
      </c>
      <c r="L6" t="s">
        <v>47</v>
      </c>
      <c r="N6" t="s">
        <v>28</v>
      </c>
    </row>
    <row r="7" spans="3:14" ht="15.75" x14ac:dyDescent="0.25">
      <c r="C7" s="24" t="s">
        <v>57</v>
      </c>
      <c r="H7" t="s">
        <v>1</v>
      </c>
      <c r="J7" t="s">
        <v>1</v>
      </c>
      <c r="L7" t="s">
        <v>18</v>
      </c>
      <c r="N7" t="s">
        <v>29</v>
      </c>
    </row>
    <row r="8" spans="3:14" x14ac:dyDescent="0.2">
      <c r="H8" t="s">
        <v>3</v>
      </c>
      <c r="J8" t="s">
        <v>10</v>
      </c>
      <c r="L8" t="s">
        <v>19</v>
      </c>
      <c r="N8" t="s">
        <v>30</v>
      </c>
    </row>
    <row r="9" spans="3:14" x14ac:dyDescent="0.2">
      <c r="H9" t="s">
        <v>5</v>
      </c>
      <c r="J9" t="s">
        <v>11</v>
      </c>
      <c r="L9" t="s">
        <v>20</v>
      </c>
      <c r="N9" t="s">
        <v>31</v>
      </c>
    </row>
    <row r="10" spans="3:14" x14ac:dyDescent="0.2">
      <c r="H10" t="s">
        <v>2</v>
      </c>
      <c r="L10" t="s">
        <v>21</v>
      </c>
    </row>
    <row r="11" spans="3:14" x14ac:dyDescent="0.2">
      <c r="H11" t="s">
        <v>4</v>
      </c>
      <c r="J11" t="s">
        <v>4</v>
      </c>
      <c r="L11" t="s">
        <v>22</v>
      </c>
    </row>
    <row r="12" spans="3:14" x14ac:dyDescent="0.2">
      <c r="J12" t="s">
        <v>12</v>
      </c>
      <c r="L12" t="s">
        <v>23</v>
      </c>
    </row>
    <row r="13" spans="3:14" x14ac:dyDescent="0.2">
      <c r="J13" t="s">
        <v>13</v>
      </c>
      <c r="L13" t="s">
        <v>24</v>
      </c>
    </row>
    <row r="14" spans="3:14" x14ac:dyDescent="0.2">
      <c r="J14" t="s">
        <v>2</v>
      </c>
      <c r="L14" t="s">
        <v>25</v>
      </c>
    </row>
    <row r="15" spans="3:14" x14ac:dyDescent="0.2">
      <c r="J15" t="s">
        <v>3</v>
      </c>
      <c r="L15" t="s">
        <v>17</v>
      </c>
    </row>
    <row r="16" spans="3:14" x14ac:dyDescent="0.2">
      <c r="J16" t="s">
        <v>14</v>
      </c>
    </row>
    <row r="17" spans="10:10" x14ac:dyDescent="0.2">
      <c r="J17" t="s">
        <v>15</v>
      </c>
    </row>
    <row r="18" spans="10:10" x14ac:dyDescent="0.2">
      <c r="J18" t="s">
        <v>6</v>
      </c>
    </row>
    <row r="19" spans="10:10" x14ac:dyDescent="0.2">
      <c r="J19" t="s">
        <v>16</v>
      </c>
    </row>
    <row r="20" spans="10:10" x14ac:dyDescent="0.2">
      <c r="J20" t="s">
        <v>5</v>
      </c>
    </row>
    <row r="21" spans="10:10" x14ac:dyDescent="0.2">
      <c r="J21" t="s">
        <v>26</v>
      </c>
    </row>
    <row r="22" spans="10:10" x14ac:dyDescent="0.2">
      <c r="J22" t="s">
        <v>27</v>
      </c>
    </row>
    <row r="23" spans="10:10" x14ac:dyDescent="0.2">
      <c r="J23" t="s">
        <v>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ISe7en</dc:creator>
  <cp:lastModifiedBy>berivan </cp:lastModifiedBy>
  <cp:lastPrinted>2025-10-23T08:53:44Z</cp:lastPrinted>
  <dcterms:created xsi:type="dcterms:W3CDTF">2024-08-14T16:16:47Z</dcterms:created>
  <dcterms:modified xsi:type="dcterms:W3CDTF">2026-02-25T15:02:25Z</dcterms:modified>
</cp:coreProperties>
</file>