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4D1C537B-E38A-612A-F078-A93A15B4B7F4}"/>
  <workbookPr filterPrivacy="1" codeName="ThisWorkbook" defaultThemeVersion="124226"/>
  <workbookProtection workbookAlgorithmName="SHA-512" workbookHashValue="3hf9Z5uOyrOFdSyDQgLLaz6NNsbJSEh6pb2g3Ss2BzjD7YUBWLA3hxPeGZScsHHdkTk8MSzwoh5mD1QAxKWrjQ==" workbookSaltValue="edeYvk7eFpw5RPJEmZrSeQ==" workbookSpinCount="100000" lockStructure="1"/>
  <bookViews>
    <workbookView xWindow="-105" yWindow="-105" windowWidth="20730" windowHeight="11760" tabRatio="608" firstSheet="6" activeTab="6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الفاتورة" sheetId="28" r:id="rId8"/>
    <sheet name="بياني" sheetId="10" r:id="rId9"/>
    <sheet name="اسماء مهندسي المكاتب " sheetId="15" r:id="rId10"/>
    <sheet name="تعديل الاسعار" sheetId="11" r:id="rId11"/>
    <sheet name="القوى المحركة" sheetId="17" state="hidden" r:id="rId12"/>
  </sheets>
  <definedNames>
    <definedName name="Amûdê" localSheetId="7">#REF!</definedName>
    <definedName name="Amûdê" localSheetId="11">#REF!</definedName>
    <definedName name="Amûdê">#REF!</definedName>
    <definedName name="Amûdê." localSheetId="7">#REF!</definedName>
    <definedName name="Amûdê." localSheetId="11">#REF!</definedName>
    <definedName name="Amûdê.">#REF!</definedName>
    <definedName name="Amûdêا" localSheetId="7">#REF!</definedName>
    <definedName name="Amûdêا" localSheetId="11">#REF!</definedName>
    <definedName name="Amûdêا">#REF!</definedName>
    <definedName name="Amûdêأ" localSheetId="7">#REF!</definedName>
    <definedName name="Amûdêأ" localSheetId="11">#REF!</definedName>
    <definedName name="Amûdêأ">#REF!</definedName>
    <definedName name="Dêrikê" localSheetId="7">#REF!</definedName>
    <definedName name="Dêrikê" localSheetId="11">#REF!</definedName>
    <definedName name="Dêrikê">#REF!</definedName>
    <definedName name="Dêrikê." localSheetId="7">#REF!</definedName>
    <definedName name="Dêrikê." localSheetId="11">#REF!</definedName>
    <definedName name="Dêrikê.">#REF!</definedName>
    <definedName name="Dêrikêا" localSheetId="7">#REF!</definedName>
    <definedName name="Dêrikêا" localSheetId="11">#REF!</definedName>
    <definedName name="Dêrikêا">#REF!</definedName>
    <definedName name="Dêrikêد" localSheetId="7">#REF!</definedName>
    <definedName name="Dêrikêد" localSheetId="11">#REF!</definedName>
    <definedName name="Dêrikêد">#REF!</definedName>
    <definedName name="Hesekê" localSheetId="7">#REF!</definedName>
    <definedName name="Hesekê" localSheetId="11">#REF!</definedName>
    <definedName name="Hesekê">#REF!</definedName>
    <definedName name="Hesekê." localSheetId="7">#REF!</definedName>
    <definedName name="Hesekê." localSheetId="11">#REF!</definedName>
    <definedName name="Hesekê.">#REF!</definedName>
    <definedName name="Hesekêا" localSheetId="7">#REF!</definedName>
    <definedName name="Hesekêا" localSheetId="11">#REF!</definedName>
    <definedName name="Hesekêا">#REF!</definedName>
    <definedName name="Hesekêح" localSheetId="7">#REF!</definedName>
    <definedName name="Hesekêح" localSheetId="11">#REF!</definedName>
    <definedName name="Hesekêح">#REF!</definedName>
    <definedName name="Hesekêد" localSheetId="7">#REF!</definedName>
    <definedName name="Hesekêد" localSheetId="11">#REF!</definedName>
    <definedName name="Hesekêد">#REF!</definedName>
    <definedName name="madni" localSheetId="7">#REF!</definedName>
    <definedName name="madni" localSheetId="11">#REF!</definedName>
    <definedName name="madni">#REF!</definedName>
    <definedName name="madniضشةهسمخ" localSheetId="7">#REF!</definedName>
    <definedName name="madniضشةهسمخ" localSheetId="11">#REF!</definedName>
    <definedName name="madniضشةهسمخ">#REF!</definedName>
    <definedName name="Qamışlo" localSheetId="7">#REF!</definedName>
    <definedName name="Qamışlo" localSheetId="11">#REF!</definedName>
    <definedName name="Qamışlo">#REF!</definedName>
    <definedName name="Qamışlo." localSheetId="7">#REF!</definedName>
    <definedName name="Qamışlo." localSheetId="11">#REF!</definedName>
    <definedName name="Qamışlo.">#REF!</definedName>
    <definedName name="Qamışloا" localSheetId="7">#REF!</definedName>
    <definedName name="Qamışloا" localSheetId="11">#REF!</definedName>
    <definedName name="Qamışloا">#REF!</definedName>
    <definedName name="Qamışloد" localSheetId="7">#REF!</definedName>
    <definedName name="Qamışloد" localSheetId="11">#REF!</definedName>
    <definedName name="Qamışloد">#REF!</definedName>
    <definedName name="Qamışloق" localSheetId="7">#REF!</definedName>
    <definedName name="Qamışloق" localSheetId="11">#REF!</definedName>
    <definedName name="Qamışloق">#REF!</definedName>
    <definedName name="Serê_kaniyê" localSheetId="7">#REF!</definedName>
    <definedName name="Serê_kaniyê" localSheetId="11">#REF!</definedName>
    <definedName name="Serê_kaniyê">#REF!</definedName>
    <definedName name="Serêkaniyê" localSheetId="7">#REF!</definedName>
    <definedName name="Serêkaniyê" localSheetId="11">#REF!</definedName>
    <definedName name="Serêkaniyê">#REF!</definedName>
    <definedName name="Serêkaniyê." localSheetId="7">#REF!</definedName>
    <definedName name="Serêkaniyê." localSheetId="11">#REF!</definedName>
    <definedName name="Serêkaniyê.">#REF!</definedName>
    <definedName name="Serêkaniyêا" localSheetId="7">#REF!</definedName>
    <definedName name="Serêkaniyêا" localSheetId="11">#REF!</definedName>
    <definedName name="Serêkaniyêا">#REF!</definedName>
    <definedName name="Serêkaniyêس" localSheetId="7">#REF!</definedName>
    <definedName name="Serêkaniyêس" localSheetId="11">#REF!</definedName>
    <definedName name="Serêkaniyêس">#REF!</definedName>
    <definedName name="ssss" localSheetId="7">#REF!</definedName>
    <definedName name="ssss" localSheetId="11">#REF!</definedName>
    <definedName name="ssss">#REF!</definedName>
    <definedName name="اديب_عزيز" localSheetId="7">#REF!</definedName>
    <definedName name="اديب_عزيز" localSheetId="11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7">#REF!</definedName>
    <definedName name="حسكه" localSheetId="11">#REF!</definedName>
    <definedName name="حسكه">#REF!</definedName>
    <definedName name="ديريك" localSheetId="7">#REF!</definedName>
    <definedName name="ديريك" localSheetId="11">#REF!</definedName>
    <definedName name="ديريك">#REF!</definedName>
    <definedName name="سريكانييه" localSheetId="7">#REF!</definedName>
    <definedName name="سريكانييه" localSheetId="11">#REF!</definedName>
    <definedName name="سريكانييه">#REF!</definedName>
    <definedName name="عاموده" localSheetId="7">#REF!</definedName>
    <definedName name="عاموده" localSheetId="11">#REF!</definedName>
    <definedName name="عاموده">#REF!</definedName>
    <definedName name="عمود1" localSheetId="7">#REF!</definedName>
    <definedName name="عمود1" localSheetId="11">#REF!</definedName>
    <definedName name="عمود1">#REF!</definedName>
    <definedName name="قامشلو" localSheetId="7">#REF!</definedName>
    <definedName name="قامشلو" localSheetId="11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'!$AL$3:$AL$9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7">#REF!</definedName>
    <definedName name="مدني" localSheetId="11">#REF!</definedName>
    <definedName name="مدني">#REF!</definedName>
    <definedName name="مدني_حسكه">'اسماء مهندسي المكاتب '!$C$3:$C$30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7">#REF!</definedName>
    <definedName name="مدنيقامشلو" localSheetId="11">#REF!</definedName>
    <definedName name="مدنيقامشلو">#REF!</definedName>
    <definedName name="معماري" localSheetId="7">#REF!</definedName>
    <definedName name="معماري" localSheetId="11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7">#REF!</definedName>
    <definedName name="معمالري" localSheetId="11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" i="12" l="1"/>
  <c r="H18" i="12"/>
  <c r="G18" i="12"/>
  <c r="F18" i="12"/>
  <c r="E18" i="12"/>
  <c r="D18" i="12"/>
  <c r="C18" i="12"/>
  <c r="B18" i="12"/>
  <c r="M16" i="11" l="1"/>
  <c r="M15" i="11"/>
  <c r="G16" i="11"/>
  <c r="G15" i="11"/>
  <c r="D16" i="11"/>
  <c r="D15" i="11"/>
  <c r="S33" i="12" l="1"/>
  <c r="R33" i="12"/>
  <c r="Q33" i="12"/>
  <c r="H14" i="12"/>
  <c r="G14" i="12"/>
  <c r="C25" i="28"/>
  <c r="F25" i="28" s="1"/>
  <c r="F26" i="28"/>
  <c r="F24" i="28"/>
  <c r="C30" i="28"/>
  <c r="F30" i="28" s="1"/>
  <c r="C22" i="28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C28" i="28"/>
  <c r="C3" i="10"/>
  <c r="E12" i="10" s="1"/>
  <c r="C55" i="12"/>
  <c r="C57" i="12"/>
  <c r="E61" i="12"/>
  <c r="C61" i="12"/>
  <c r="C60" i="12"/>
  <c r="C58" i="12"/>
  <c r="B3" i="10"/>
  <c r="D12" i="10" s="1"/>
  <c r="X39" i="12"/>
  <c r="R38" i="12"/>
  <c r="S38" i="12"/>
  <c r="E55" i="12"/>
  <c r="E57" i="12"/>
  <c r="B2" i="12"/>
  <c r="E13" i="12" s="1"/>
  <c r="J3" i="12"/>
  <c r="H63" i="12"/>
  <c r="C54" i="12"/>
  <c r="C56" i="12"/>
  <c r="E58" i="12"/>
  <c r="E60" i="12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/>
  <c r="Q8" i="10"/>
  <c r="N8" i="10"/>
  <c r="D15" i="10"/>
  <c r="Q32" i="10" s="1"/>
  <c r="C15" i="10"/>
  <c r="P32" i="10" s="1"/>
  <c r="U9" i="12"/>
  <c r="T33" i="12"/>
  <c r="Q32" i="12"/>
  <c r="R32" i="12"/>
  <c r="S32" i="12"/>
  <c r="T32" i="12"/>
  <c r="U32" i="12"/>
  <c r="V32" i="12"/>
  <c r="P32" i="12"/>
  <c r="P9" i="12"/>
  <c r="P7" i="12"/>
  <c r="V7" i="12" s="1"/>
  <c r="Q29" i="12"/>
  <c r="R29" i="12"/>
  <c r="S29" i="12"/>
  <c r="T29" i="12"/>
  <c r="U29" i="12"/>
  <c r="V29" i="12"/>
  <c r="Q21" i="12"/>
  <c r="R21" i="12"/>
  <c r="S21" i="12"/>
  <c r="T21" i="12"/>
  <c r="U21" i="12"/>
  <c r="V21" i="12"/>
  <c r="Q20" i="12"/>
  <c r="R20" i="12"/>
  <c r="S20" i="12"/>
  <c r="T20" i="12"/>
  <c r="U20" i="12"/>
  <c r="V20" i="12"/>
  <c r="P20" i="12"/>
  <c r="M31" i="12"/>
  <c r="L4" i="11"/>
  <c r="B23" i="11"/>
  <c r="B16" i="11" s="1"/>
  <c r="B22" i="11"/>
  <c r="C15" i="11"/>
  <c r="B21" i="11"/>
  <c r="C14" i="11" s="1"/>
  <c r="B14" i="11"/>
  <c r="B20" i="11"/>
  <c r="C13" i="11" s="1"/>
  <c r="B13" i="11"/>
  <c r="G10" i="17"/>
  <c r="G11" i="17"/>
  <c r="U19" i="17" s="1"/>
  <c r="H10" i="17"/>
  <c r="I10" i="17" s="1"/>
  <c r="H11" i="17"/>
  <c r="V19" i="17" s="1"/>
  <c r="J3" i="17"/>
  <c r="C2" i="17"/>
  <c r="H5" i="17"/>
  <c r="E10" i="17"/>
  <c r="E14" i="17"/>
  <c r="S22" i="17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F15" i="17"/>
  <c r="T23" i="17"/>
  <c r="D10" i="17"/>
  <c r="D14" i="17" s="1"/>
  <c r="D20" i="17"/>
  <c r="D21" i="17" s="1"/>
  <c r="F10" i="17"/>
  <c r="F14" i="17" s="1"/>
  <c r="T22" i="17" s="1"/>
  <c r="C10" i="17"/>
  <c r="C11" i="17"/>
  <c r="C12" i="17" s="1"/>
  <c r="E15" i="17"/>
  <c r="S23" i="17"/>
  <c r="C20" i="17"/>
  <c r="C22" i="17" s="1"/>
  <c r="Q28" i="17"/>
  <c r="Q30" i="17" s="1"/>
  <c r="C14" i="17"/>
  <c r="Q22" i="17" s="1"/>
  <c r="P21" i="12"/>
  <c r="W16" i="12"/>
  <c r="B20" i="10"/>
  <c r="B27" i="12"/>
  <c r="E33" i="28" s="1"/>
  <c r="F33" i="28" s="1"/>
  <c r="T16" i="12"/>
  <c r="W18" i="12"/>
  <c r="T18" i="12"/>
  <c r="P18" i="12"/>
  <c r="P14" i="12"/>
  <c r="Q38" i="12"/>
  <c r="P38" i="12"/>
  <c r="P29" i="12"/>
  <c r="W14" i="12"/>
  <c r="T14" i="12"/>
  <c r="E20" i="11"/>
  <c r="G13" i="11"/>
  <c r="H20" i="11"/>
  <c r="I13" i="11" s="1"/>
  <c r="K20" i="11"/>
  <c r="M13" i="11" s="1"/>
  <c r="L13" i="11"/>
  <c r="E21" i="11"/>
  <c r="E14" i="11" s="1"/>
  <c r="H21" i="11"/>
  <c r="I14" i="11" s="1"/>
  <c r="J14" i="11"/>
  <c r="H14" i="11"/>
  <c r="K21" i="11"/>
  <c r="M14" i="11" s="1"/>
  <c r="K14" i="11"/>
  <c r="E22" i="11"/>
  <c r="F15" i="11"/>
  <c r="E15" i="11"/>
  <c r="H22" i="11"/>
  <c r="K22" i="11"/>
  <c r="L15" i="11"/>
  <c r="E23" i="11"/>
  <c r="E16" i="11"/>
  <c r="H23" i="11"/>
  <c r="J16" i="11" s="1"/>
  <c r="H16" i="11"/>
  <c r="K23" i="11"/>
  <c r="L16" i="11"/>
  <c r="K16" i="11"/>
  <c r="E24" i="11"/>
  <c r="H24" i="11"/>
  <c r="K24" i="11"/>
  <c r="B24" i="11"/>
  <c r="K15" i="11"/>
  <c r="F13" i="11"/>
  <c r="E13" i="11"/>
  <c r="B15" i="10"/>
  <c r="O25" i="10" s="1"/>
  <c r="Q19" i="17"/>
  <c r="L14" i="11"/>
  <c r="C21" i="17"/>
  <c r="Q29" i="17"/>
  <c r="E11" i="17"/>
  <c r="E13" i="17" s="1"/>
  <c r="C23" i="17"/>
  <c r="C25" i="17"/>
  <c r="R12" i="17" s="1"/>
  <c r="F16" i="11"/>
  <c r="B15" i="11"/>
  <c r="D13" i="11"/>
  <c r="D14" i="11"/>
  <c r="E59" i="12"/>
  <c r="E56" i="12"/>
  <c r="B12" i="10"/>
  <c r="B13" i="10" s="1"/>
  <c r="O23" i="10" s="1"/>
  <c r="C12" i="10"/>
  <c r="C13" i="10" s="1"/>
  <c r="P23" i="10" s="1"/>
  <c r="E54" i="12"/>
  <c r="E12" i="17"/>
  <c r="S20" i="17"/>
  <c r="E14" i="12" l="1"/>
  <c r="E23" i="12" s="1"/>
  <c r="H13" i="11"/>
  <c r="J13" i="11"/>
  <c r="I15" i="11"/>
  <c r="J15" i="11"/>
  <c r="I16" i="11"/>
  <c r="S21" i="17"/>
  <c r="E17" i="17"/>
  <c r="Q20" i="17"/>
  <c r="C13" i="17"/>
  <c r="Q21" i="17" s="1"/>
  <c r="J10" i="17"/>
  <c r="D23" i="17" s="1"/>
  <c r="W19" i="17"/>
  <c r="Y19" i="17" s="1"/>
  <c r="R29" i="17"/>
  <c r="D22" i="17"/>
  <c r="F12" i="10"/>
  <c r="S22" i="10" s="1"/>
  <c r="R22" i="10"/>
  <c r="R22" i="17"/>
  <c r="D13" i="10"/>
  <c r="D14" i="10" s="1"/>
  <c r="Q22" i="10"/>
  <c r="S19" i="17"/>
  <c r="H15" i="11"/>
  <c r="G12" i="17"/>
  <c r="U20" i="17" s="1"/>
  <c r="H12" i="17"/>
  <c r="V20" i="17" s="1"/>
  <c r="K13" i="11"/>
  <c r="B18" i="10"/>
  <c r="B21" i="10" s="1"/>
  <c r="N15" i="10" s="1"/>
  <c r="D11" i="17"/>
  <c r="G12" i="10"/>
  <c r="C16" i="11"/>
  <c r="P22" i="10"/>
  <c r="G14" i="11"/>
  <c r="R28" i="17"/>
  <c r="F14" i="11"/>
  <c r="O22" i="10"/>
  <c r="F11" i="17"/>
  <c r="E21" i="28"/>
  <c r="F21" i="28" s="1"/>
  <c r="C17" i="17"/>
  <c r="C13" i="12"/>
  <c r="I13" i="12"/>
  <c r="W23" i="12" s="1"/>
  <c r="B13" i="12"/>
  <c r="B14" i="12" s="1"/>
  <c r="B23" i="12" s="1"/>
  <c r="F13" i="12"/>
  <c r="F14" i="12" s="1"/>
  <c r="D13" i="12"/>
  <c r="D14" i="12" s="1"/>
  <c r="D23" i="12" s="1"/>
  <c r="C14" i="10"/>
  <c r="C17" i="10" s="1"/>
  <c r="P27" i="10" s="1"/>
  <c r="O32" i="10"/>
  <c r="B14" i="10"/>
  <c r="O24" i="10" s="1"/>
  <c r="D17" i="10"/>
  <c r="Q24" i="10"/>
  <c r="P25" i="10"/>
  <c r="Q23" i="10"/>
  <c r="Q25" i="10"/>
  <c r="C59" i="12"/>
  <c r="V23" i="12"/>
  <c r="H15" i="12"/>
  <c r="V24" i="12" s="1"/>
  <c r="E23" i="28"/>
  <c r="F23" i="28" s="1"/>
  <c r="C27" i="28"/>
  <c r="F27" i="28" s="1"/>
  <c r="C32" i="28"/>
  <c r="F32" i="28" s="1"/>
  <c r="F22" i="28"/>
  <c r="F28" i="28"/>
  <c r="C39" i="12" l="1"/>
  <c r="Y23" i="12"/>
  <c r="V41" i="12" s="1"/>
  <c r="C14" i="12"/>
  <c r="C23" i="12" s="1"/>
  <c r="C24" i="12" s="1"/>
  <c r="Q36" i="12" s="1"/>
  <c r="D25" i="17"/>
  <c r="R19" i="17"/>
  <c r="D12" i="17"/>
  <c r="R20" i="17" s="1"/>
  <c r="Q25" i="17"/>
  <c r="Q24" i="17"/>
  <c r="R30" i="17"/>
  <c r="T19" i="17"/>
  <c r="F12" i="17"/>
  <c r="T20" i="17" s="1"/>
  <c r="G13" i="17"/>
  <c r="S25" i="17"/>
  <c r="S24" i="17"/>
  <c r="H13" i="17"/>
  <c r="H16" i="12"/>
  <c r="B17" i="10"/>
  <c r="O26" i="10" s="1"/>
  <c r="P26" i="10"/>
  <c r="P24" i="10"/>
  <c r="Q26" i="10"/>
  <c r="Q27" i="10"/>
  <c r="J13" i="12"/>
  <c r="G15" i="12"/>
  <c r="U24" i="12" s="1"/>
  <c r="U23" i="12"/>
  <c r="D15" i="12"/>
  <c r="R23" i="12"/>
  <c r="D17" i="12"/>
  <c r="R26" i="12" s="1"/>
  <c r="E15" i="12"/>
  <c r="S23" i="12"/>
  <c r="E17" i="12"/>
  <c r="S26" i="12" s="1"/>
  <c r="I28" i="12"/>
  <c r="I29" i="12" s="1"/>
  <c r="T23" i="12"/>
  <c r="F15" i="12"/>
  <c r="T24" i="12" s="1"/>
  <c r="F17" i="12"/>
  <c r="T26" i="12" s="1"/>
  <c r="B17" i="12"/>
  <c r="P26" i="12" s="1"/>
  <c r="B15" i="12"/>
  <c r="P24" i="12" s="1"/>
  <c r="P23" i="12"/>
  <c r="C15" i="12" l="1"/>
  <c r="C16" i="12" s="1"/>
  <c r="Q25" i="12" s="1"/>
  <c r="Q23" i="12"/>
  <c r="C17" i="12"/>
  <c r="Q26" i="12" s="1"/>
  <c r="G17" i="17"/>
  <c r="U21" i="17"/>
  <c r="F13" i="17"/>
  <c r="V25" i="12"/>
  <c r="V33" i="12"/>
  <c r="D13" i="17"/>
  <c r="V21" i="17"/>
  <c r="H17" i="17"/>
  <c r="H20" i="12"/>
  <c r="V28" i="12" s="1"/>
  <c r="O27" i="10"/>
  <c r="Q35" i="12"/>
  <c r="Q37" i="12" s="1"/>
  <c r="G16" i="12"/>
  <c r="U33" i="12" s="1"/>
  <c r="C25" i="12"/>
  <c r="R24" i="12"/>
  <c r="D16" i="12"/>
  <c r="D24" i="12"/>
  <c r="R36" i="12" s="1"/>
  <c r="R35" i="12"/>
  <c r="P35" i="12"/>
  <c r="B24" i="12"/>
  <c r="S24" i="12"/>
  <c r="E16" i="12"/>
  <c r="S25" i="12" s="1"/>
  <c r="S35" i="12"/>
  <c r="E24" i="12"/>
  <c r="S36" i="12" s="1"/>
  <c r="B16" i="12"/>
  <c r="P33" i="12" s="1"/>
  <c r="F16" i="12"/>
  <c r="T25" i="12" s="1"/>
  <c r="Q24" i="12" l="1"/>
  <c r="Q42" i="12" s="1"/>
  <c r="C26" i="12"/>
  <c r="C38" i="12"/>
  <c r="C20" i="12"/>
  <c r="Q27" i="12" s="1"/>
  <c r="B26" i="12"/>
  <c r="S42" i="12"/>
  <c r="S43" i="12"/>
  <c r="Q43" i="12"/>
  <c r="V25" i="17"/>
  <c r="V24" i="17"/>
  <c r="R21" i="17"/>
  <c r="D17" i="17"/>
  <c r="T21" i="17"/>
  <c r="F17" i="17"/>
  <c r="U24" i="17"/>
  <c r="U25" i="17"/>
  <c r="V27" i="12"/>
  <c r="AA23" i="12"/>
  <c r="AA25" i="12" s="1"/>
  <c r="D25" i="12"/>
  <c r="R37" i="12"/>
  <c r="U25" i="12"/>
  <c r="G20" i="12"/>
  <c r="E20" i="12"/>
  <c r="S37" i="12"/>
  <c r="D20" i="12"/>
  <c r="R25" i="12"/>
  <c r="B20" i="12"/>
  <c r="P25" i="12"/>
  <c r="F20" i="12"/>
  <c r="E25" i="12"/>
  <c r="B25" i="12"/>
  <c r="P36" i="12"/>
  <c r="P37" i="12" s="1"/>
  <c r="C37" i="12" l="1"/>
  <c r="V43" i="12"/>
  <c r="Q28" i="12"/>
  <c r="T25" i="17"/>
  <c r="T24" i="17"/>
  <c r="R25" i="17"/>
  <c r="R24" i="17"/>
  <c r="U27" i="12"/>
  <c r="S27" i="12"/>
  <c r="S28" i="12"/>
  <c r="K28" i="12"/>
  <c r="P27" i="12"/>
  <c r="P28" i="12"/>
  <c r="R28" i="12"/>
  <c r="R27" i="12"/>
  <c r="T27" i="12"/>
  <c r="T28" i="12"/>
  <c r="C40" i="12" l="1"/>
  <c r="C41" i="12" s="1"/>
  <c r="B28" i="12" s="1"/>
  <c r="U37" i="12"/>
  <c r="P16" i="12" l="1"/>
  <c r="B16" i="28" s="1"/>
  <c r="F34" i="28"/>
  <c r="F35" i="28" s="1"/>
</calcChain>
</file>

<file path=xl/sharedStrings.xml><?xml version="1.0" encoding="utf-8"?>
<sst xmlns="http://schemas.openxmlformats.org/spreadsheetml/2006/main" count="801" uniqueCount="369">
  <si>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</si>
  <si>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</si>
  <si>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</si>
  <si>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</si>
  <si>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</si>
  <si>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</si>
  <si>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</si>
  <si>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</si>
  <si>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</si>
  <si>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</si>
  <si>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</si>
  <si>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</si>
  <si>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</si>
  <si>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</si>
  <si>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</si>
  <si>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</si>
  <si>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</si>
  <si>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</si>
  <si>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</si>
  <si>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</si>
  <si>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</si>
  <si>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</si>
  <si>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</si>
  <si>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</si>
  <si>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</si>
  <si>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</si>
  <si>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</si>
  <si>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</si>
  <si>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</si>
  <si>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</si>
  <si>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</si>
  <si>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</si>
  <si>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</si>
  <si>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</si>
  <si>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</si>
  <si>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</si>
  <si>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</si>
  <si>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</si>
  <si>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</si>
  <si>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</si>
  <si>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</si>
  <si>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</si>
  <si>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</si>
  <si>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</si>
  <si>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</si>
  <si>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</si>
  <si>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</si>
  <si>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</si>
  <si>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</si>
  <si>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</si>
  <si>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</si>
  <si>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</si>
  <si>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</si>
  <si>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الرئاسة المشتركة لغرفة المهندسين</t>
  </si>
  <si>
    <t>التسلسل</t>
  </si>
  <si>
    <t>حسن تمو</t>
  </si>
  <si>
    <t>حكم خلو</t>
  </si>
  <si>
    <t>اكرم محمود</t>
  </si>
  <si>
    <t>معماري مكاتب</t>
  </si>
  <si>
    <t>رقعة البناء</t>
  </si>
  <si>
    <t>من 0 - 150 م2</t>
  </si>
  <si>
    <t>من 151 - 300 م2</t>
  </si>
  <si>
    <t>فوق الـ 300 م2</t>
  </si>
  <si>
    <t>سامي ابراهيم يوسف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</si>
  <si>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</si>
  <si>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</si>
  <si>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</si>
  <si>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</si>
  <si>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</si>
  <si>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</si>
  <si>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</si>
  <si>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</si>
  <si>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</si>
  <si>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</si>
  <si>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مجموع اتعاب المهندس الصافية</t>
  </si>
  <si>
    <t>مجموع الحساب :</t>
  </si>
  <si>
    <t>ليرة</t>
  </si>
  <si>
    <t>أمينة فندي</t>
  </si>
  <si>
    <t>صالح ابراهيم</t>
  </si>
  <si>
    <t>لقمان موسى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</si>
  <si>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</si>
  <si>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</si>
  <si>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</si>
  <si>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</si>
  <si>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</si>
  <si>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</si>
  <si>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</si>
  <si>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</si>
  <si>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</si>
  <si>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</si>
  <si>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</si>
  <si>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</si>
  <si>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</si>
  <si>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</si>
  <si>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</si>
  <si>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</si>
  <si>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 xml:space="preserve">شكري حمزة </t>
  </si>
  <si>
    <t>ابراهيم شيخموس</t>
  </si>
  <si>
    <t>عبد الحليم ابراهيم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</si>
  <si>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</si>
  <si>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</si>
  <si>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</si>
  <si>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</si>
  <si>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</si>
  <si>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</si>
  <si>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ميكانيك مكاتب</t>
  </si>
  <si>
    <t>كهرباء مكاتب</t>
  </si>
  <si>
    <t>جيولوجيا و تربة مكاتب</t>
  </si>
  <si>
    <t>محمود سالم</t>
  </si>
  <si>
    <t>ادريس سعدون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</si>
  <si>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</si>
  <si>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</si>
  <si>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</si>
  <si>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</si>
  <si>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</si>
  <si>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</si>
  <si>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</si>
  <si>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</si>
  <si>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</si>
  <si>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</si>
  <si>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</si>
  <si>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</si>
  <si>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</si>
  <si>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</si>
  <si>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</si>
  <si>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</si>
  <si>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</si>
  <si>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</si>
  <si>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</si>
  <si>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</si>
  <si>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</si>
  <si>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</si>
  <si>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</si>
  <si>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</si>
  <si>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</si>
  <si>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</si>
  <si>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</si>
  <si>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</si>
  <si>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</si>
  <si>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</si>
  <si>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</si>
  <si>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</si>
  <si>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</si>
  <si>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</si>
  <si>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</si>
  <si>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</si>
  <si>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</si>
  <si>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</si>
  <si>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</si>
  <si>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</si>
  <si>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</si>
  <si>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</si>
  <si>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</si>
  <si>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</si>
  <si>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</si>
  <si>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</si>
  <si>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</si>
  <si>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</si>
  <si>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</si>
  <si>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</si>
  <si>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</si>
  <si>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</si>
  <si>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</si>
  <si>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</si>
  <si>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</si>
  <si>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</si>
  <si>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</si>
  <si>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</si>
  <si>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</si>
  <si>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</si>
  <si>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</si>
  <si>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</si>
  <si>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</si>
  <si>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</si>
  <si>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</si>
  <si>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</si>
  <si>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</si>
  <si>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</si>
  <si>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</si>
  <si>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</si>
  <si>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</si>
  <si>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</si>
  <si>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</si>
  <si>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</si>
  <si>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</si>
  <si>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</si>
  <si>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</si>
  <si>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</si>
  <si>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</si>
  <si>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</si>
  <si>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</si>
  <si>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</si>
  <si>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</si>
  <si>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</si>
  <si>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</si>
  <si>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</si>
  <si>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</si>
  <si>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</si>
  <si>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</si>
  <si>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</si>
  <si>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</si>
  <si>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</si>
  <si>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</si>
  <si>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</si>
  <si>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</si>
  <si>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</si>
  <si>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</si>
  <si>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</si>
  <si>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</si>
  <si>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</si>
  <si>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</si>
  <si>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</si>
  <si>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</si>
  <si>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</si>
  <si>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</si>
  <si>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</si>
  <si>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</si>
  <si>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</si>
  <si>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</si>
  <si>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</si>
  <si>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</si>
  <si>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</si>
  <si>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</si>
  <si>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</si>
  <si>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</si>
  <si>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</si>
  <si>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</si>
  <si>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</si>
  <si>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</si>
  <si>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</si>
  <si>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</si>
  <si>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</si>
  <si>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</si>
  <si>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عبد الحميد احمد</t>
  </si>
  <si>
    <t>محمد مصلح</t>
  </si>
  <si>
    <t>خليل حمزة</t>
  </si>
  <si>
    <t>احمد العوض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</si>
  <si>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</si>
  <si>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</si>
  <si>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</si>
  <si>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</si>
  <si>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Arial"/>
        <family val="2"/>
        <scheme val="minor"/>
      </rPr>
      <t xml:space="preserve">Dirok:  </t>
    </r>
    <r>
      <rPr>
        <sz val="11"/>
        <color theme="1"/>
        <rFont val="Arial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</si>
  <si>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</si>
  <si>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Arial"/>
        <family val="2"/>
        <scheme val="minor"/>
      </rPr>
      <t>Yekîtîya Endezyarên Cezîrê</t>
    </r>
    <r>
      <rPr>
        <sz val="11"/>
        <color theme="1"/>
        <rFont val="Arial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</si>
  <si>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</si>
  <si>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</si>
  <si>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</si>
  <si>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</si>
  <si>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</si>
  <si>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</si>
  <si>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</si>
  <si>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</si>
  <si>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</si>
  <si>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</si>
  <si>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</si>
  <si>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</si>
  <si>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القوى المحركة ب الكيلو وات :</t>
  </si>
  <si>
    <t>مغلف الاعمدة</t>
  </si>
  <si>
    <t>اللوحة الكهربائية</t>
  </si>
  <si>
    <t>مانع صواعق</t>
  </si>
  <si>
    <t>شبكة التاريض</t>
  </si>
  <si>
    <t>العزل الحراري</t>
  </si>
  <si>
    <t>الزلازل</t>
  </si>
  <si>
    <t>الطاقة الشمسية</t>
  </si>
  <si>
    <t>عدد الطوابق</t>
  </si>
  <si>
    <t>امبير</t>
  </si>
  <si>
    <t>من 40 - 400</t>
  </si>
  <si>
    <t>من 401-1000</t>
  </si>
  <si>
    <t>فوق الـ 1000</t>
  </si>
  <si>
    <t>مهندسين</t>
  </si>
  <si>
    <t>غرفة</t>
  </si>
  <si>
    <t>اتحاد</t>
  </si>
  <si>
    <t>ميديا سلي</t>
  </si>
  <si>
    <t>زانا حسن</t>
  </si>
  <si>
    <t>بياني مستودع</t>
  </si>
  <si>
    <t>بياني</t>
  </si>
  <si>
    <t>داخل الصندوق 40%</t>
  </si>
  <si>
    <t>تهوية</t>
  </si>
  <si>
    <t>نظام انذارواطفاء حريق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</si>
  <si>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</si>
  <si>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</si>
  <si>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</si>
  <si>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</si>
  <si>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</si>
  <si>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</si>
  <si>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</si>
  <si>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</si>
  <si>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</si>
  <si>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</si>
  <si>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</si>
  <si>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</si>
  <si>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</si>
  <si>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</si>
  <si>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</si>
  <si>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</si>
  <si>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</si>
  <si>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</si>
  <si>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</si>
  <si>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</si>
  <si>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</si>
  <si>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</si>
  <si>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</si>
  <si>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</si>
  <si>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</si>
  <si>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</si>
  <si>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 xml:space="preserve">سعدون سعدون </t>
  </si>
  <si>
    <t>محمد فرحان</t>
  </si>
  <si>
    <t>لايوجد</t>
  </si>
  <si>
    <t>جوان اوسو</t>
  </si>
  <si>
    <t>روني يونس</t>
  </si>
  <si>
    <t>خارج الصندوق10%</t>
  </si>
  <si>
    <t>داخل الصندوق 25%</t>
  </si>
  <si>
    <t>صندوق عام</t>
  </si>
  <si>
    <t>من 0 - 250 م2</t>
  </si>
  <si>
    <t>من 251 - 500 م2</t>
  </si>
  <si>
    <t>من 501 - 1000 م3</t>
  </si>
  <si>
    <t>من 1001 - 2000 م2</t>
  </si>
  <si>
    <t>فوق الـ 2001 م2</t>
  </si>
  <si>
    <t>فاضل ابراهيم</t>
  </si>
  <si>
    <t>عبدالرحمن ملا ابراهيم</t>
  </si>
  <si>
    <t>هبون الاحمد</t>
  </si>
  <si>
    <t>زياد البوش</t>
  </si>
  <si>
    <t>احمد بهلوي</t>
  </si>
  <si>
    <t>عبدالباسط يوسف</t>
  </si>
  <si>
    <t>عبود العمر</t>
  </si>
  <si>
    <t>علي عبدالقدوس علي</t>
  </si>
  <si>
    <t>يونس البركو</t>
  </si>
  <si>
    <t>سحاب الخاير</t>
  </si>
  <si>
    <t>محمود العلي</t>
  </si>
  <si>
    <t>عبدالرحيم طعمة</t>
  </si>
  <si>
    <t>فريدة عبدو</t>
  </si>
  <si>
    <t>بدران سيدو</t>
  </si>
  <si>
    <t>عادل باشا</t>
  </si>
  <si>
    <t>عبدالعزيز الحسين</t>
  </si>
  <si>
    <t xml:space="preserve">محمد بشير </t>
  </si>
  <si>
    <t>ابراهيم طاهر</t>
  </si>
  <si>
    <t>ابراهيم ممدوح</t>
  </si>
  <si>
    <t>هيفيدار محمد</t>
  </si>
  <si>
    <t>افين ابراهيم</t>
  </si>
  <si>
    <t>سهيلة دولي</t>
  </si>
  <si>
    <t>تامار كنجويان</t>
  </si>
  <si>
    <t>مروان بربندي</t>
  </si>
  <si>
    <t>حسين العلي</t>
  </si>
  <si>
    <t>مج(م+ع)</t>
  </si>
  <si>
    <t>مج(ك+م)</t>
  </si>
  <si>
    <t>ت(م+ع)</t>
  </si>
  <si>
    <t>ت(ك+م)</t>
  </si>
  <si>
    <t xml:space="preserve">مجموع الرديات مع التصوير </t>
  </si>
  <si>
    <t>مجموع صناديق المشتركة</t>
  </si>
  <si>
    <t>مجموع صناديق التدقيق</t>
  </si>
  <si>
    <t>مجموع الغرفة و الاتحاد</t>
  </si>
  <si>
    <t xml:space="preserve">مجموع رديات </t>
  </si>
  <si>
    <t>سكن وجمعيات 1400ليرة</t>
  </si>
  <si>
    <t>تجارة وسكن 1750ليرة</t>
  </si>
  <si>
    <t>منشأت خاصة 2600ليرة</t>
  </si>
  <si>
    <t>مزاحم الرزة</t>
  </si>
  <si>
    <t>الغرفة و الاتحاد</t>
  </si>
  <si>
    <t>كلي الصناديق</t>
  </si>
  <si>
    <t>كاوا صالح</t>
  </si>
  <si>
    <t>عبدالعزيز شيخي</t>
  </si>
  <si>
    <t>ميديا محمد</t>
  </si>
  <si>
    <t>عبدالحليم ابراهيم</t>
  </si>
  <si>
    <t>عبدالباقي ابراهيم</t>
  </si>
  <si>
    <t>عبدالحميد شرجي</t>
  </si>
  <si>
    <t>محمود علي</t>
  </si>
  <si>
    <t>عكيد خليل</t>
  </si>
  <si>
    <t>عبد الكريم احمو</t>
  </si>
  <si>
    <t>رضوان محمد علي</t>
  </si>
  <si>
    <t>درباسية غربية8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</si>
</sst>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2010000]yyyy/mm/dd;@"/>
    <numFmt numFmtId="165" formatCode="dd/mm/yyyy;@"/>
  </numFmts>
  <fonts count="57" x14ac:knownFonts="1">
    <font>
      <sz val="11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rgb="FFFF0000"/>
      <name val="Arial"/>
      <family val="2"/>
      <scheme val="minor"/>
    </font>
    <font>
      <b/>
      <sz val="20"/>
      <color rgb="FFFF0000"/>
      <name val="Arial"/>
      <family val="2"/>
      <scheme val="minor"/>
    </font>
    <font>
      <b/>
      <sz val="14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Arial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4"/>
      <color rgb="FFFF0000"/>
      <name val="Arial"/>
      <family val="2"/>
    </font>
    <font>
      <sz val="16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3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  <scheme val="minor"/>
    </font>
    <font>
      <b/>
      <sz val="12"/>
      <name val="Arial"/>
      <family val="2"/>
      <scheme val="minor"/>
    </font>
    <font>
      <b/>
      <sz val="8"/>
      <color theme="1"/>
      <name val="Arial"/>
      <family val="2"/>
    </font>
    <font>
      <b/>
      <sz val="1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Arial"/>
      <family val="2"/>
      <scheme val="minor"/>
    </font>
    <font>
      <b/>
      <sz val="11"/>
      <color rgb="FF3F3F3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2"/>
      <color theme="1"/>
      <name val="Times New Roman"/>
      <family val="1"/>
      <scheme val="major"/>
    </font>
    <font>
      <b/>
      <sz val="14"/>
      <color theme="0"/>
      <name val="Times New Roman"/>
      <family val="1"/>
      <scheme val="major"/>
    </font>
    <font>
      <b/>
      <sz val="12"/>
      <color rgb="FF3F3F3F"/>
      <name val="Arial"/>
      <family val="2"/>
      <charset val="178"/>
      <scheme val="minor"/>
    </font>
    <font>
      <b/>
      <sz val="12"/>
      <color rgb="FF3F3F3F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22"/>
      <color rgb="FF000000"/>
      <name val="Arial"/>
      <family val="2"/>
    </font>
    <font>
      <b/>
      <sz val="16"/>
      <color rgb="FFFF0000"/>
      <name val="Arial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</fills>
  <borders count="2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7" borderId="0" applyNumberFormat="0" applyBorder="0" applyAlignment="0" applyProtection="0"/>
  </cellStyleXfs>
  <cellXfs count="507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8" fillId="8" borderId="19" xfId="3" applyFont="1" applyFill="1" applyBorder="1" applyAlignment="1">
      <alignment horizontal="center" vertical="center"/>
    </xf>
    <xf numFmtId="0" fontId="18" fillId="8" borderId="13" xfId="3" applyFont="1" applyFill="1" applyBorder="1" applyAlignment="1">
      <alignment horizontal="center" vertical="center"/>
    </xf>
    <xf numFmtId="0" fontId="18" fillId="8" borderId="0" xfId="3" applyFont="1" applyFill="1" applyBorder="1" applyAlignment="1">
      <alignment horizontal="center" vertical="center"/>
    </xf>
    <xf numFmtId="0" fontId="18" fillId="8" borderId="22" xfId="3" applyFont="1" applyFill="1" applyBorder="1" applyAlignment="1">
      <alignment horizontal="center" vertical="center"/>
    </xf>
    <xf numFmtId="0" fontId="18" fillId="8" borderId="18" xfId="3" applyFont="1" applyFill="1" applyBorder="1" applyAlignment="1">
      <alignment horizontal="center" vertical="center"/>
    </xf>
    <xf numFmtId="0" fontId="18" fillId="8" borderId="15" xfId="3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9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/>
    </xf>
    <xf numFmtId="0" fontId="51" fillId="27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1" fontId="17" fillId="0" borderId="5" xfId="0" applyNumberFormat="1" applyFont="1" applyBorder="1" applyAlignment="1">
      <alignment horizontal="center" vertical="center"/>
    </xf>
    <xf numFmtId="0" fontId="56" fillId="9" borderId="5" xfId="0" applyFont="1" applyFill="1" applyBorder="1" applyAlignment="1">
      <alignment horizontal="center" vertical="center"/>
    </xf>
    <xf numFmtId="1" fontId="56" fillId="9" borderId="5" xfId="0" applyNumberFormat="1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24" fillId="21" borderId="5" xfId="0" applyFont="1" applyFill="1" applyBorder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0" fontId="5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54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 readingOrder="2"/>
    </xf>
    <xf numFmtId="0" fontId="7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40" fillId="0" borderId="25" xfId="0" quotePrefix="1" applyFont="1" applyBorder="1" applyAlignment="1">
      <alignment horizontal="center" vertical="center" wrapText="1" readingOrder="2"/>
    </xf>
    <xf numFmtId="0" fontId="40" fillId="0" borderId="26" xfId="0" quotePrefix="1" applyFont="1" applyBorder="1" applyAlignment="1">
      <alignment horizontal="center" vertical="center" wrapText="1" readingOrder="2"/>
    </xf>
    <xf numFmtId="1" fontId="24" fillId="0" borderId="27" xfId="0" applyNumberFormat="1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right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4" fillId="0" borderId="0" xfId="0" applyFont="1" applyAlignment="1">
      <alignment horizontal="center" vertical="center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21" fillId="24" borderId="12" xfId="3" applyFont="1" applyFill="1" applyBorder="1" applyAlignment="1">
      <alignment horizontal="center" vertical="center"/>
    </xf>
    <xf numFmtId="0" fontId="21" fillId="24" borderId="6" xfId="3" applyFont="1" applyFill="1" applyBorder="1" applyAlignment="1">
      <alignment horizontal="center" vertical="center"/>
    </xf>
    <xf numFmtId="0" fontId="21" fillId="24" borderId="14" xfId="3" applyFont="1" applyFill="1" applyBorder="1" applyAlignment="1">
      <alignment horizontal="center" vertical="center"/>
    </xf>
    <xf numFmtId="0" fontId="18" fillId="25" borderId="19" xfId="3" applyFont="1" applyFill="1" applyBorder="1" applyAlignment="1" applyProtection="1">
      <alignment horizontal="center" vertical="center"/>
      <protection locked="0"/>
    </xf>
    <xf numFmtId="0" fontId="18" fillId="25" borderId="0" xfId="3" applyFont="1" applyFill="1" applyBorder="1" applyAlignment="1" applyProtection="1">
      <alignment horizontal="center" vertical="center"/>
      <protection locked="0"/>
    </xf>
    <xf numFmtId="0" fontId="18" fillId="25" borderId="18" xfId="3" applyFont="1" applyFill="1" applyBorder="1" applyAlignment="1" applyProtection="1">
      <alignment horizontal="center" vertical="center"/>
      <protection locked="0"/>
    </xf>
    <xf numFmtId="0" fontId="5" fillId="11" borderId="5" xfId="0" applyFont="1" applyFill="1" applyBorder="1" applyAlignment="1">
      <alignment horizontal="center" vertical="center" wrapText="1" readingOrder="2"/>
    </xf>
    <xf numFmtId="0" fontId="18" fillId="17" borderId="5" xfId="0" applyFont="1" applyFill="1" applyBorder="1" applyAlignment="1" applyProtection="1">
      <alignment horizontal="center" vertical="center"/>
      <protection locked="0"/>
    </xf>
    <xf numFmtId="0" fontId="37" fillId="10" borderId="5" xfId="0" applyFont="1" applyFill="1" applyBorder="1" applyAlignment="1">
      <alignment horizontal="center" vertical="center"/>
    </xf>
    <xf numFmtId="0" fontId="34" fillId="8" borderId="8" xfId="0" applyFont="1" applyFill="1" applyBorder="1" applyAlignment="1">
      <alignment horizontal="left"/>
    </xf>
    <xf numFmtId="0" fontId="34" fillId="8" borderId="9" xfId="0" applyFont="1" applyFill="1" applyBorder="1" applyAlignment="1">
      <alignment horizontal="left"/>
    </xf>
    <xf numFmtId="0" fontId="18" fillId="11" borderId="5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17" fillId="12" borderId="10" xfId="0" applyFont="1" applyFill="1" applyBorder="1" applyAlignment="1" applyProtection="1">
      <alignment horizontal="center" vertical="center"/>
      <protection locked="0"/>
    </xf>
    <xf numFmtId="0" fontId="17" fillId="12" borderId="16" xfId="0" applyFont="1" applyFill="1" applyBorder="1" applyAlignment="1" applyProtection="1">
      <alignment horizontal="center" vertical="center"/>
      <protection locked="0"/>
    </xf>
    <xf numFmtId="0" fontId="17" fillId="12" borderId="11" xfId="0" applyFont="1" applyFill="1" applyBorder="1" applyAlignment="1" applyProtection="1">
      <alignment horizontal="center" vertical="center"/>
      <protection locked="0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25" fillId="21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164" fontId="17" fillId="0" borderId="0" xfId="0" applyNumberFormat="1" applyFont="1" applyAlignment="1">
      <alignment horizontal="right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47" fillId="26" borderId="10" xfId="3" applyFont="1" applyFill="1" applyBorder="1" applyAlignment="1" applyProtection="1">
      <alignment horizontal="center" vertical="center"/>
      <protection locked="0"/>
    </xf>
    <xf numFmtId="0" fontId="47" fillId="26" borderId="16" xfId="3" applyFont="1" applyFill="1" applyBorder="1" applyAlignment="1" applyProtection="1">
      <alignment horizontal="center" vertical="center"/>
      <protection locked="0"/>
    </xf>
    <xf numFmtId="0" fontId="47" fillId="26" borderId="11" xfId="3" applyFont="1" applyFill="1" applyBorder="1" applyAlignment="1" applyProtection="1">
      <alignment horizontal="center" vertical="center"/>
      <protection locked="0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 applyProtection="1">
      <alignment horizontal="center" vertical="center"/>
      <protection locked="0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1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5" xfId="0" applyNumberFormat="1" applyFont="1" applyBorder="1" applyAlignment="1">
      <alignment horizontal="center" vertical="center" wrapText="1" readingOrder="2"/>
    </xf>
    <xf numFmtId="0" fontId="17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right"/>
    </xf>
    <xf numFmtId="0" fontId="50" fillId="0" borderId="17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7" borderId="8" xfId="5" applyFont="1" applyBorder="1" applyAlignment="1">
      <alignment horizontal="center" vertical="center"/>
    </xf>
    <xf numFmtId="0" fontId="51" fillId="27" borderId="17" xfId="5" applyFont="1" applyBorder="1" applyAlignment="1">
      <alignment horizontal="center" vertical="center"/>
    </xf>
    <xf numFmtId="0" fontId="51" fillId="27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1" fillId="27" borderId="8" xfId="5" applyFont="1" applyBorder="1" applyAlignment="1">
      <alignment horizontal="center" vertical="center" readingOrder="2"/>
    </xf>
    <xf numFmtId="0" fontId="51" fillId="27" borderId="9" xfId="5" applyFont="1" applyBorder="1" applyAlignment="1">
      <alignment horizontal="center" vertical="center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5" fillId="18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</cellXfs>
  <cellStyles count="6">
    <cellStyle name="Normal" xfId="0" builtinId="0"/>
    <cellStyle name="إخراج" xfId="4" builtinId="21"/>
    <cellStyle name="إدخال" xfId="1" builtinId="20"/>
    <cellStyle name="تمييز1" xfId="5" builtinId="29"/>
    <cellStyle name="حساب" xfId="2" builtinId="22"/>
    <cellStyle name="خلية تدقيق" xfId="3" builtinId="23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theme" Target="theme/theme1.xml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microsoft.com/office/2006/relationships/vbaProject" Target="vbaProject.bin"/><Relationship Id="rId2" Type="http://schemas.microsoft.com/office/2006/relationships/xlMacrosheet" Target="macrosheets/sheet2.xml"/><Relationship Id="rId16" Type="http://schemas.openxmlformats.org/officeDocument/2006/relationships/calcChain" Target="calcChain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25</xdr:row>
      <xdr:rowOff>38099</xdr:rowOff>
    </xdr:from>
    <xdr:to>
      <xdr:col>6</xdr:col>
      <xdr:colOff>569119</xdr:colOff>
      <xdr:row>27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19</xdr:col>
      <xdr:colOff>298451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4.25" x14ac:dyDescent="0.2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0" totalsRowShown="0" headerRowDxfId="162" dataDxfId="160" headerRowBorderDxfId="161" tableBorderDxfId="159" totalsRowBorderDxfId="158">
  <autoFilter ref="C2:C30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22" totalsRowShown="0" headerRowDxfId="27" dataDxfId="25" headerRowBorderDxfId="26" tableBorderDxfId="24" totalsRowBorderDxfId="23">
  <autoFilter ref="AL2:AL22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02"/>
  <sheetViews>
    <sheetView rightToLeft="1" tabSelected="1" zoomScale="90" zoomScaleNormal="90" workbookViewId="0">
      <selection activeCell="G9" sqref="G9"/>
    </sheetView>
  </sheetViews>
  <sheetFormatPr defaultColWidth="8.75" defaultRowHeight="14.25" x14ac:dyDescent="0.2"/>
  <cols>
    <col min="1" max="1" width="24" style="51" customWidth="1"/>
    <col min="2" max="2" width="22.5" style="51" customWidth="1"/>
    <col min="3" max="3" width="14.5" style="51" customWidth="1"/>
    <col min="4" max="4" width="14.125" style="51" customWidth="1"/>
    <col min="5" max="5" width="14.5" style="51" customWidth="1"/>
    <col min="6" max="6" width="14.5" style="169" customWidth="1"/>
    <col min="7" max="7" width="13.125" style="51" customWidth="1"/>
    <col min="8" max="8" width="13.5" style="51" customWidth="1"/>
    <col min="9" max="10" width="10.875" style="51" customWidth="1"/>
    <col min="11" max="11" width="13.25" style="51" customWidth="1"/>
    <col min="12" max="12" width="16.5" style="51" customWidth="1"/>
    <col min="13" max="13" width="18.75" style="51" customWidth="1"/>
    <col min="14" max="14" width="17.5" style="51" customWidth="1"/>
    <col min="15" max="15" width="12.875" style="51" customWidth="1"/>
    <col min="16" max="16" width="9.5" style="51" customWidth="1"/>
    <col min="17" max="17" width="9.875" style="51" customWidth="1"/>
    <col min="18" max="18" width="9.25" style="51" customWidth="1"/>
    <col min="19" max="19" width="9.75" style="51" customWidth="1"/>
    <col min="20" max="20" width="9.75" style="174" customWidth="1"/>
    <col min="21" max="21" width="8.5" style="51" customWidth="1"/>
    <col min="22" max="22" width="9.375" style="51" customWidth="1"/>
    <col min="23" max="26" width="4.5" style="51" customWidth="1"/>
    <col min="27" max="36" width="8.75" style="51"/>
    <col min="37" max="49" width="8.75" style="13"/>
    <col min="50" max="16384" width="8.75" style="51"/>
  </cols>
  <sheetData>
    <row r="1" spans="1:49" ht="18" customHeight="1" x14ac:dyDescent="0.2">
      <c r="A1" s="175" t="s">
        <v>45</v>
      </c>
      <c r="B1" s="80" t="s">
        <v>9</v>
      </c>
      <c r="C1" s="80" t="s">
        <v>49</v>
      </c>
      <c r="D1" s="74" t="s">
        <v>48</v>
      </c>
      <c r="E1" s="372" t="s">
        <v>367</v>
      </c>
      <c r="F1" s="373"/>
      <c r="G1" s="374"/>
      <c r="H1" s="74" t="s">
        <v>43</v>
      </c>
      <c r="I1" s="372">
        <v>101</v>
      </c>
      <c r="J1" s="374"/>
      <c r="L1" s="335" t="s">
        <v>10</v>
      </c>
      <c r="M1" s="336"/>
      <c r="O1" s="363" t="s">
        <v>302</v>
      </c>
      <c r="P1" s="363"/>
      <c r="Q1" s="363"/>
      <c r="U1" s="334" t="s">
        <v>202</v>
      </c>
      <c r="V1" s="334"/>
      <c r="W1" s="334"/>
      <c r="X1" s="334"/>
      <c r="Y1" s="334"/>
      <c r="Z1" s="334"/>
    </row>
    <row r="2" spans="1:49" ht="15.75" customHeight="1" x14ac:dyDescent="0.2">
      <c r="A2" s="358" t="s">
        <v>68</v>
      </c>
      <c r="B2" s="359">
        <f>IF(AND(A2="سكن وجمعيات"),(M10),IF(AND(A2="تجارة وسكن"),(M12),IF(AND(A2="منشأت خاصة"),(M13),IF(AND(A2="سكن ريفي"),(M14)))))</f>
        <v>2600</v>
      </c>
      <c r="C2" s="344" t="s">
        <v>207</v>
      </c>
      <c r="D2" s="74" t="s">
        <v>24</v>
      </c>
      <c r="E2" s="372" t="s">
        <v>368</v>
      </c>
      <c r="F2" s="373"/>
      <c r="G2" s="374"/>
      <c r="H2" s="74" t="s">
        <v>42</v>
      </c>
      <c r="I2" s="372">
        <v>0</v>
      </c>
      <c r="J2" s="374"/>
      <c r="L2" s="161" t="s">
        <v>59</v>
      </c>
      <c r="M2" s="161" t="s">
        <v>9</v>
      </c>
      <c r="O2" s="363"/>
      <c r="P2" s="363"/>
      <c r="Q2" s="363"/>
      <c r="U2" s="334"/>
      <c r="V2" s="334"/>
      <c r="W2" s="334"/>
      <c r="X2" s="334"/>
      <c r="Y2" s="334"/>
      <c r="Z2" s="334"/>
    </row>
    <row r="3" spans="1:49" ht="15" customHeight="1" x14ac:dyDescent="0.25">
      <c r="A3" s="358"/>
      <c r="B3" s="359"/>
      <c r="C3" s="344"/>
      <c r="D3" s="75" t="s">
        <v>28</v>
      </c>
      <c r="E3" s="258">
        <v>877</v>
      </c>
      <c r="F3" s="167"/>
      <c r="G3" s="346" t="s">
        <v>256</v>
      </c>
      <c r="H3" s="347"/>
      <c r="I3" s="258">
        <v>0</v>
      </c>
      <c r="J3" s="113">
        <f>IF(AND(I3&lt;=22),I3*1665,IF(AND(I3&gt;=23,I3&lt;=45),I3*1530,IF(AND(I3&gt;=46,I3&lt;=90),I3*1290,IF(AND(I3&gt;=91,I3&lt;=200),I3*855,IF(AND(I3&gt;=201),I3*630,)))))</f>
        <v>0</v>
      </c>
      <c r="K3" s="243"/>
      <c r="L3" s="70" t="s">
        <v>313</v>
      </c>
      <c r="M3" s="70">
        <v>50000</v>
      </c>
      <c r="N3" s="51">
        <v>30000</v>
      </c>
      <c r="O3" s="361" t="s">
        <v>301</v>
      </c>
      <c r="P3" s="361"/>
      <c r="Q3" s="361"/>
      <c r="U3" s="375" t="s">
        <v>303</v>
      </c>
      <c r="V3" s="329"/>
      <c r="W3" s="329"/>
      <c r="X3" s="329"/>
      <c r="Y3" s="329"/>
      <c r="Z3" s="329"/>
    </row>
    <row r="4" spans="1:49" ht="9.75" customHeight="1" x14ac:dyDescent="0.2">
      <c r="A4" s="366" t="s">
        <v>264</v>
      </c>
      <c r="B4" s="376">
        <v>1</v>
      </c>
      <c r="C4" s="337" t="s">
        <v>265</v>
      </c>
      <c r="D4" s="340">
        <v>200</v>
      </c>
      <c r="E4" s="251"/>
      <c r="F4" s="251"/>
      <c r="G4" s="252"/>
      <c r="H4" s="73"/>
      <c r="I4" s="73"/>
      <c r="J4" s="73"/>
      <c r="L4" s="70" t="s">
        <v>314</v>
      </c>
      <c r="M4" s="70">
        <v>200000</v>
      </c>
      <c r="N4" s="51">
        <v>60000</v>
      </c>
      <c r="O4" s="361"/>
      <c r="P4" s="361"/>
      <c r="Q4" s="361"/>
      <c r="U4" s="329"/>
      <c r="V4" s="329"/>
      <c r="W4" s="329"/>
      <c r="X4" s="329"/>
      <c r="Y4" s="329"/>
      <c r="Z4" s="329"/>
    </row>
    <row r="5" spans="1:49" s="247" customFormat="1" ht="9.75" customHeight="1" x14ac:dyDescent="0.2">
      <c r="A5" s="367"/>
      <c r="B5" s="377"/>
      <c r="C5" s="338"/>
      <c r="D5" s="341"/>
      <c r="E5" s="253"/>
      <c r="F5" s="253"/>
      <c r="G5" s="254"/>
      <c r="H5" s="73"/>
      <c r="I5" s="73"/>
      <c r="J5" s="73"/>
      <c r="L5" s="70" t="s">
        <v>315</v>
      </c>
      <c r="M5" s="70">
        <v>250000</v>
      </c>
      <c r="N5" s="247">
        <v>90000</v>
      </c>
      <c r="O5" s="248"/>
      <c r="P5" s="248"/>
      <c r="Q5" s="248"/>
      <c r="U5" s="246"/>
      <c r="V5" s="246"/>
      <c r="W5" s="246"/>
      <c r="X5" s="246"/>
      <c r="Y5" s="246"/>
      <c r="Z5" s="246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7" customFormat="1" ht="9.75" customHeight="1" x14ac:dyDescent="0.2">
      <c r="A6" s="368"/>
      <c r="B6" s="378"/>
      <c r="C6" s="339"/>
      <c r="D6" s="342"/>
      <c r="E6" s="255"/>
      <c r="F6" s="255"/>
      <c r="G6" s="256"/>
      <c r="H6" s="73"/>
      <c r="I6" s="73"/>
      <c r="J6" s="73"/>
      <c r="L6" s="70" t="s">
        <v>316</v>
      </c>
      <c r="M6" s="70">
        <v>250000</v>
      </c>
      <c r="N6" s="247">
        <v>90000</v>
      </c>
      <c r="O6" s="248"/>
      <c r="P6" s="248"/>
      <c r="Q6" s="248"/>
      <c r="U6" s="246"/>
      <c r="V6" s="246"/>
      <c r="W6" s="246"/>
      <c r="X6" s="246"/>
      <c r="Y6" s="246"/>
      <c r="Z6" s="246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">
      <c r="A7" s="364" t="s">
        <v>12</v>
      </c>
      <c r="B7" s="365">
        <v>449.75</v>
      </c>
      <c r="C7" s="379" t="s">
        <v>35</v>
      </c>
      <c r="D7" s="382">
        <v>0</v>
      </c>
      <c r="E7" s="349" t="s">
        <v>17</v>
      </c>
      <c r="F7" s="350"/>
      <c r="G7" s="382">
        <v>1</v>
      </c>
      <c r="H7" s="348">
        <f>G7*400000</f>
        <v>400000</v>
      </c>
      <c r="I7" s="381"/>
      <c r="J7" s="345"/>
      <c r="L7" s="70" t="s">
        <v>317</v>
      </c>
      <c r="M7" s="70">
        <v>250000</v>
      </c>
      <c r="N7" s="51">
        <v>90000</v>
      </c>
      <c r="O7" s="361" t="s">
        <v>300</v>
      </c>
      <c r="P7" s="362" t="str">
        <f>C2</f>
        <v>الحسكه</v>
      </c>
      <c r="Q7" s="182"/>
      <c r="R7" s="182"/>
      <c r="V7" s="334" t="str">
        <f>IF(AND(P7="قامشلو"),(M34),IF(AND(P7="ديريك"),(M36),IF(AND(P7="الحسكه"),(M35),IF(AND(P7="عاموده"),(M38)))))</f>
        <v>Hesekê</v>
      </c>
      <c r="W7" s="334" t="s">
        <v>203</v>
      </c>
      <c r="X7" s="334"/>
      <c r="Y7" s="334"/>
      <c r="Z7" s="334"/>
    </row>
    <row r="8" spans="1:49" ht="12.75" customHeight="1" x14ac:dyDescent="0.2">
      <c r="A8" s="364"/>
      <c r="B8" s="365"/>
      <c r="C8" s="380"/>
      <c r="D8" s="382"/>
      <c r="E8" s="351"/>
      <c r="F8" s="352"/>
      <c r="G8" s="382"/>
      <c r="H8" s="348"/>
      <c r="I8" s="381"/>
      <c r="J8" s="345"/>
      <c r="O8" s="361"/>
      <c r="P8" s="362"/>
      <c r="V8" s="334"/>
      <c r="W8" s="334"/>
      <c r="X8" s="334"/>
      <c r="Y8" s="334"/>
      <c r="Z8" s="334"/>
    </row>
    <row r="9" spans="1:49" s="89" customFormat="1" ht="17.25" customHeight="1" x14ac:dyDescent="0.2">
      <c r="A9" s="259" t="s">
        <v>153</v>
      </c>
      <c r="B9" s="260" t="s">
        <v>128</v>
      </c>
      <c r="C9" s="260" t="s">
        <v>136</v>
      </c>
      <c r="D9" s="260" t="s">
        <v>143</v>
      </c>
      <c r="E9" s="260" t="s">
        <v>141</v>
      </c>
      <c r="F9" s="260" t="s">
        <v>197</v>
      </c>
      <c r="G9" s="260" t="s">
        <v>148</v>
      </c>
      <c r="H9" s="260" t="s">
        <v>148</v>
      </c>
      <c r="I9" s="355" t="s">
        <v>49</v>
      </c>
      <c r="J9" s="355" t="s">
        <v>50</v>
      </c>
      <c r="L9" s="360" t="s">
        <v>66</v>
      </c>
      <c r="M9" s="360"/>
      <c r="O9" s="299" t="s">
        <v>168</v>
      </c>
      <c r="P9" s="369">
        <f ca="1">TODAY()</f>
        <v>46205</v>
      </c>
      <c r="Q9" s="369"/>
      <c r="T9" s="174"/>
      <c r="U9" s="353">
        <f ca="1">TODAY()</f>
        <v>46205</v>
      </c>
      <c r="V9" s="353"/>
      <c r="W9" s="353"/>
      <c r="X9" s="328" t="s">
        <v>304</v>
      </c>
      <c r="Y9" s="329"/>
      <c r="Z9" s="329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">
      <c r="A10" s="261" t="s">
        <v>40</v>
      </c>
      <c r="B10" s="260" t="s">
        <v>359</v>
      </c>
      <c r="C10" s="260" t="s">
        <v>318</v>
      </c>
      <c r="D10" s="260" t="s">
        <v>332</v>
      </c>
      <c r="E10" s="260" t="s">
        <v>108</v>
      </c>
      <c r="F10" s="260" t="s">
        <v>359</v>
      </c>
      <c r="G10" s="260" t="s">
        <v>123</v>
      </c>
      <c r="H10" s="260" t="s">
        <v>236</v>
      </c>
      <c r="I10" s="356"/>
      <c r="J10" s="356"/>
      <c r="L10" s="78" t="s">
        <v>27</v>
      </c>
      <c r="M10" s="78">
        <v>1400</v>
      </c>
      <c r="O10" s="370" t="s">
        <v>217</v>
      </c>
      <c r="P10" s="371"/>
      <c r="Q10" s="371"/>
      <c r="R10" s="371"/>
      <c r="S10" s="371"/>
      <c r="T10" s="371"/>
      <c r="U10" s="371"/>
      <c r="V10" s="371"/>
      <c r="W10" s="371"/>
      <c r="X10" s="371"/>
      <c r="Y10" s="371"/>
      <c r="Z10" s="371"/>
    </row>
    <row r="11" spans="1:49" s="192" customFormat="1" ht="17.25" customHeight="1" x14ac:dyDescent="0.2">
      <c r="A11" s="261" t="s">
        <v>237</v>
      </c>
      <c r="B11" s="260" t="s">
        <v>307</v>
      </c>
      <c r="C11" s="260" t="s">
        <v>307</v>
      </c>
      <c r="D11" s="260" t="s">
        <v>307</v>
      </c>
      <c r="E11" s="260" t="s">
        <v>307</v>
      </c>
      <c r="F11" s="260" t="s">
        <v>238</v>
      </c>
      <c r="G11" s="260" t="s">
        <v>307</v>
      </c>
      <c r="H11" s="260" t="s">
        <v>307</v>
      </c>
      <c r="I11" s="356"/>
      <c r="J11" s="356"/>
      <c r="L11" s="78"/>
      <c r="M11" s="78"/>
      <c r="O11" s="193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">
      <c r="A12" s="259" t="s">
        <v>152</v>
      </c>
      <c r="B12" s="262" t="s">
        <v>311</v>
      </c>
      <c r="C12" s="262" t="s">
        <v>311</v>
      </c>
      <c r="D12" s="262" t="s">
        <v>311</v>
      </c>
      <c r="E12" s="262" t="s">
        <v>311</v>
      </c>
      <c r="F12" s="262" t="s">
        <v>311</v>
      </c>
      <c r="G12" s="262" t="s">
        <v>310</v>
      </c>
      <c r="H12" s="262" t="s">
        <v>310</v>
      </c>
      <c r="I12" s="357"/>
      <c r="J12" s="357"/>
      <c r="L12" s="78" t="s">
        <v>67</v>
      </c>
      <c r="M12" s="78">
        <v>1750</v>
      </c>
      <c r="O12" s="354" t="s">
        <v>25</v>
      </c>
      <c r="P12" s="354"/>
      <c r="Q12" s="354"/>
      <c r="R12" s="354"/>
      <c r="S12" s="354"/>
      <c r="T12" s="354"/>
      <c r="U12" s="354"/>
      <c r="V12" s="354"/>
      <c r="W12" s="354"/>
      <c r="X12" s="354"/>
      <c r="Y12" s="354"/>
      <c r="Z12" s="354"/>
    </row>
    <row r="13" spans="1:49" ht="17.25" customHeight="1" x14ac:dyDescent="0.2">
      <c r="A13" s="177" t="s">
        <v>9</v>
      </c>
      <c r="B13" s="17">
        <f>(B2*0.85)*(M26*0.01)</f>
        <v>1082.9000000000001</v>
      </c>
      <c r="C13" s="17">
        <f>(B2*0.85)*(M27*0.01)</f>
        <v>618.80000000000007</v>
      </c>
      <c r="D13" s="17">
        <f>(B2*0.85)*(M28*0.01)</f>
        <v>243.1</v>
      </c>
      <c r="E13" s="17">
        <f>(B2*0.85)*(M29*0.01)</f>
        <v>243.1</v>
      </c>
      <c r="F13" s="17">
        <f>(B2*0.85)*(M30*0.01)</f>
        <v>22.1</v>
      </c>
      <c r="G13" s="17">
        <v>0</v>
      </c>
      <c r="H13" s="17">
        <v>0</v>
      </c>
      <c r="I13" s="17">
        <f>(B7*0.075*B2)+(G13*0.075)+(H13*0.075)</f>
        <v>87701.249999999985</v>
      </c>
      <c r="J13" s="17">
        <f>I13</f>
        <v>87701.249999999985</v>
      </c>
      <c r="K13" s="265"/>
      <c r="L13" s="78" t="s">
        <v>68</v>
      </c>
      <c r="M13" s="78">
        <v>2600</v>
      </c>
      <c r="O13" s="354"/>
      <c r="P13" s="354"/>
      <c r="Q13" s="354"/>
      <c r="R13" s="354"/>
      <c r="S13" s="354"/>
      <c r="T13" s="354"/>
      <c r="U13" s="354"/>
      <c r="V13" s="354"/>
      <c r="W13" s="354"/>
      <c r="X13" s="354"/>
      <c r="Y13" s="354"/>
      <c r="Z13" s="354"/>
    </row>
    <row r="14" spans="1:49" ht="18" x14ac:dyDescent="0.2">
      <c r="A14" s="176" t="s">
        <v>5</v>
      </c>
      <c r="B14" s="58">
        <f>(B7*B13*0.8)+(B53*0.8*B2)+(B59*B13*0.8)</f>
        <v>389627.42000000004</v>
      </c>
      <c r="C14" s="58">
        <f>(C13*0.8*B7)+(B53*0.8*B2)+(0.8*B58)</f>
        <v>222644.24000000005</v>
      </c>
      <c r="D14" s="58">
        <f>(D13*0.8*B7)+(H7*0.8*0.5)+((C54+C55+C56+C57)*0.8)</f>
        <v>247467.38</v>
      </c>
      <c r="E14" s="58">
        <f>(E13*B7*0.8)+(H7*0.5*0.8)+((C60+C58+C61+C55)*0.8)</f>
        <v>247467.38</v>
      </c>
      <c r="F14" s="168">
        <f>(F13*B7)</f>
        <v>9939.4750000000004</v>
      </c>
      <c r="G14" s="59">
        <f>G13*0.85</f>
        <v>0</v>
      </c>
      <c r="H14" s="59">
        <f>H13*0.85</f>
        <v>0</v>
      </c>
      <c r="I14" s="59"/>
      <c r="J14" s="59"/>
      <c r="L14" s="78" t="s">
        <v>69</v>
      </c>
      <c r="M14" s="78">
        <v>600</v>
      </c>
      <c r="O14" s="38" t="s">
        <v>48</v>
      </c>
      <c r="P14" s="317" t="str">
        <f>E1</f>
        <v>رضوان محمد علي</v>
      </c>
      <c r="Q14" s="317"/>
      <c r="R14" s="317"/>
      <c r="S14" s="299" t="s">
        <v>299</v>
      </c>
      <c r="T14" s="319" t="str">
        <f>A2</f>
        <v>منشأت خاصة</v>
      </c>
      <c r="U14" s="319"/>
      <c r="V14" s="38" t="s">
        <v>26</v>
      </c>
      <c r="W14" s="316">
        <f>B7</f>
        <v>449.75</v>
      </c>
      <c r="X14" s="316"/>
      <c r="Y14" s="302" t="s">
        <v>297</v>
      </c>
    </row>
    <row r="15" spans="1:49" ht="18" x14ac:dyDescent="0.25">
      <c r="A15" s="176" t="s">
        <v>7</v>
      </c>
      <c r="B15" s="58">
        <f>IF(AND(B12=L17),(B14*M17),IF(AND(B12=L18),(B14*M18),IF(AND(B12=L19),(B14*M19),IF(AND(B12=L20),(B14*M20),IF(AND(B12=L21),(B14*M21),IF(AND(B12=L22),(B14*M22),IF(AND(B12=L23),(B14*M23))))))))</f>
        <v>97406.85500000001</v>
      </c>
      <c r="C15" s="130">
        <f>IF(AND(C12=L17),(C14*M17),IF(AND(C12=L18),(C14*M18),IF(AND(C12=L19),(C14*M19),IF(AND(C12=L20),(C14*M20),IF(AND(C12=L21),(C14*M21),IF(AND(C12=L22),(C14*M22),IF(AND(C12=L23),(C14*M23))))))))</f>
        <v>55661.060000000012</v>
      </c>
      <c r="D15" s="130">
        <f>IF(AND(D12=L17),(D14*M17),IF(AND(D12=L18),(D14*M18),IF(AND(D12=L19),(D14*M19),IF(AND(D12=L20),(D14*M20),IF(AND(D12=L21),(D14*M21),IF(AND(D12=L22),(D14*M22),IF(AND(D12=L23),(D14*M23))))))))</f>
        <v>61866.845000000001</v>
      </c>
      <c r="E15" s="130">
        <f>IF(AND(E12=L17),(E14*M17),IF(AND(E12=L18),(E14*M18),IF(AND(E12=L19),(E14*M19),IF(AND(E12=L20),(E14*M20),IF(AND(E12=L21),(E14*M21),IF(AND(E12=L22),(E14*M22),IF(AND(E12=L23),(E14*M23))))))))</f>
        <v>61866.845000000001</v>
      </c>
      <c r="F15" s="168">
        <f>IF(AND(F12=L17),(F14*M17),IF(AND(F12=L18),(F14*M18),IF(AND(F12=L19),(F14*M19),IF(AND(F12=L20),(F14*M20),IF(AND(F12=L21),(F14*M21),IF(AND(F12=L22),(F14*M22),IF(AND(F12=L23),(F14*M23))))))))</f>
        <v>2484.8687500000001</v>
      </c>
      <c r="G15" s="130">
        <f>IF(AND(G12=L17),(G14*M17),IF(AND(G12=L18),(G14*M18),IF(AND(G12=L19),(G14*M19),IF(AND(G12=L20),(G14*M20),IF(AND(G12=L21),(G14*M21),IF(AND(G12=L22),(G14*M22),IF(AND(G12=L23),(G14*M23))))))))</f>
        <v>0</v>
      </c>
      <c r="H15" s="130">
        <f>IF(AND(H12=L17),(H14*M17),IF(AND(H12=L18),(H14*M18),IF(AND(H12=L19),(H14*M19),IF(AND(H12=L20),(H14*M20),IF(AND(H12=L21),(H14*M21),IF(AND(H12=L22),(H14*M22),IF(AND(H12=L23),(H14*M23))))))))</f>
        <v>0</v>
      </c>
      <c r="I15" s="59"/>
      <c r="J15" s="59"/>
      <c r="O15" s="57"/>
      <c r="P15" s="122"/>
      <c r="Q15" s="122"/>
      <c r="R15" s="57"/>
      <c r="S15" s="300"/>
      <c r="T15" s="172"/>
      <c r="U15" s="57"/>
      <c r="V15" s="57"/>
      <c r="W15" s="37"/>
      <c r="X15" s="29"/>
    </row>
    <row r="16" spans="1:49" ht="14.25" customHeight="1" x14ac:dyDescent="0.25">
      <c r="A16" s="176" t="s">
        <v>11</v>
      </c>
      <c r="B16" s="58">
        <f>(B14-B15)</f>
        <v>292220.56500000006</v>
      </c>
      <c r="C16" s="58">
        <f>C14-C15</f>
        <v>166983.18000000005</v>
      </c>
      <c r="D16" s="58">
        <f>D14-D15</f>
        <v>185600.535</v>
      </c>
      <c r="E16" s="58">
        <f>E14-E15</f>
        <v>185600.535</v>
      </c>
      <c r="F16" s="168">
        <f>F14-F15</f>
        <v>7454.6062500000007</v>
      </c>
      <c r="G16" s="130">
        <f t="shared" ref="G16:H16" si="0">G14-G15</f>
        <v>0</v>
      </c>
      <c r="H16" s="130">
        <f t="shared" si="0"/>
        <v>0</v>
      </c>
      <c r="I16" s="59"/>
      <c r="J16" s="59"/>
      <c r="L16" s="323" t="s">
        <v>170</v>
      </c>
      <c r="M16" s="323"/>
      <c r="O16" s="291" t="s">
        <v>75</v>
      </c>
      <c r="P16" s="318">
        <f>B28</f>
        <v>1633989.6790000002</v>
      </c>
      <c r="Q16" s="318"/>
      <c r="R16" s="84" t="s">
        <v>298</v>
      </c>
      <c r="S16" s="301" t="s">
        <v>28</v>
      </c>
      <c r="T16" s="316">
        <f>E3</f>
        <v>877</v>
      </c>
      <c r="U16" s="316"/>
      <c r="V16" s="39" t="s">
        <v>169</v>
      </c>
      <c r="W16" s="316">
        <f>D7</f>
        <v>0</v>
      </c>
      <c r="X16" s="316"/>
      <c r="Y16" s="302" t="s">
        <v>297</v>
      </c>
    </row>
    <row r="17" spans="1:49" ht="15.75" customHeight="1" x14ac:dyDescent="0.2">
      <c r="A17" s="176" t="s">
        <v>6</v>
      </c>
      <c r="B17" s="58">
        <f>B14*0</f>
        <v>0</v>
      </c>
      <c r="C17" s="58">
        <f>C14*0</f>
        <v>0</v>
      </c>
      <c r="D17" s="272">
        <f>D14*0</f>
        <v>0</v>
      </c>
      <c r="E17" s="272">
        <f>E14*0</f>
        <v>0</v>
      </c>
      <c r="F17" s="272">
        <f>F14*0</f>
        <v>0</v>
      </c>
      <c r="G17" s="59"/>
      <c r="H17" s="59"/>
      <c r="I17" s="59"/>
      <c r="J17" s="59"/>
      <c r="K17" s="51">
        <v>17</v>
      </c>
      <c r="L17" s="78" t="s">
        <v>310</v>
      </c>
      <c r="M17" s="78">
        <v>0.1</v>
      </c>
      <c r="O17" s="57"/>
      <c r="P17" s="57"/>
      <c r="Q17" s="57"/>
      <c r="R17" s="57"/>
      <c r="S17" s="299"/>
      <c r="T17" s="39"/>
      <c r="W17" s="57"/>
      <c r="X17" s="29"/>
    </row>
    <row r="18" spans="1:49" ht="18" customHeight="1" x14ac:dyDescent="0.2">
      <c r="A18" s="176" t="s">
        <v>239</v>
      </c>
      <c r="B18" s="58">
        <f>IF(AND(B11="لايوجد"),(0),IF(AND(B12=L17),((B16+B17)*0.15),IF(AND(B12=L18),((B16+B17)*0.15),IF(AND(B12=L19),((B16+B17)*0.15),IF(AND(B12=L20),((B16+B17)*0.15),IF(AND(B12=L21),((B16+B17)*0.15),IF(AND(B12=L22),((B16+B17)*0.15),IF(AND(B12=L23),((B16+B17)*0.15)))))))))</f>
        <v>0</v>
      </c>
      <c r="C18" s="217">
        <f>IF(AND(C11="لايوجد"),(0),IF(AND(C12=L17),((C16+C17)*0.15),IF(AND(C12=L18),((C16+C17)*0.15),IF(AND(C12=L19),((C16+C17)*0.15),IF(AND(C12=L20),((C16+C17)*0.15),IF(AND(C12=L21),((C16+C17)*0.15),IF(AND(C12=L22),((C16+C17)*0.15),IF(AND(C12=L23),((C16+C17)*0.15)))))))))</f>
        <v>0</v>
      </c>
      <c r="D18" s="217">
        <f>IF(AND(D11="لايوجد"),(0),IF(AND(D12=L17),((D16+D17)*0.15),IF(AND(D12=L18),((D16+D17)*0.15),IF(AND(D12=L19),((D16+D17)*0.15),IF(AND(D12=L20),((D16+D17)*0.15),IF(AND(D12=L21),((D16+D17)*0.15),IF(AND(D12=L22),((D16+D17)*0.15),IF(AND(D12=L23),((D16+D17)*0.15)))))))))</f>
        <v>0</v>
      </c>
      <c r="E18" s="217">
        <f>IF(AND(E11="لايوجد"),(0),IF(AND(E12=L17),((E16+E17)*0.15),IF(AND(E12=L18),((E16+E17)*0.15),IF(AND(E12=L19),((E16+E17)*0.15),IF(AND(E12=L20),((E16+E17)*0.15),IF(AND(E12=L21),((E16+E17)*0.15),IF(AND(E12=L22),((E16+E17)*0.15),IF(AND(E12=L23),((E16+E17)*0.15)))))))))</f>
        <v>0</v>
      </c>
      <c r="F18" s="217">
        <f>IF(AND(F11="لا يوجد"),(0),IF(AND(F12=L17),((F16+F17)*0.15),IF(AND(F12=L18),((F16+F17)*0.15),IF(AND(F12=L19),((F16+F17)*0.15),IF(AND(F12=L20),((F16+F17)*0.15),IF(AND(F12=L21),((F16+F17)*0.15),IF(AND(F12=L22),((F16+F17)*0.15),IF(AND(F12=L23),((F16+F17)*0.15)))))))))</f>
        <v>0</v>
      </c>
      <c r="G18" s="217">
        <f>IF(AND(G11="لا يوجد"),(0),IF(AND(G12=L17),((G16+G17)*0.15),IF(AND(G12=L18),((G16+G17)*0.15),IF(AND(G12=L19),((G16+G17)*0.15),IF(AND(G12=L20),((G16+G17)*0.15),IF(AND(G12=L21),((G16+G17)*0.15),IF(AND(G12=L22),((G16+G17)*0.15),IF(AND(G12=L23),((G16+G17)*0.15)))))))))</f>
        <v>0</v>
      </c>
      <c r="H18" s="217">
        <f>IF(AND(H11="لا يوجد"),(0),IF(AND(H12=L17),((H16+H17)*0.15),IF(AND(H12=L18),((H16+H17)*0.15),IF(AND(H12=L19),((H16+H17)*0.15),IF(AND(H12=L20),((H16+H17)*0.15),IF(AND(H12=L21),((H16+H17)*0.15),IF(AND(H12=L22),((H16+H17)*0.15),IF(AND(H12=L23),((H16+H17)*0.15)))))))))</f>
        <v>0</v>
      </c>
      <c r="I18" s="59"/>
      <c r="J18" s="59"/>
      <c r="K18" s="268">
        <v>18</v>
      </c>
      <c r="L18" s="78" t="s">
        <v>173</v>
      </c>
      <c r="M18" s="78">
        <v>0.2</v>
      </c>
      <c r="O18" s="39" t="s">
        <v>24</v>
      </c>
      <c r="P18" s="317" t="str">
        <f>E2</f>
        <v>درباسية غربية8</v>
      </c>
      <c r="Q18" s="317"/>
      <c r="R18" s="317"/>
      <c r="S18" s="299" t="s">
        <v>43</v>
      </c>
      <c r="T18" s="316">
        <f>I1</f>
        <v>101</v>
      </c>
      <c r="U18" s="316"/>
      <c r="V18" s="39" t="s">
        <v>42</v>
      </c>
      <c r="W18" s="317">
        <f>I2</f>
        <v>0</v>
      </c>
      <c r="X18" s="317"/>
      <c r="Y18" s="183"/>
    </row>
    <row r="19" spans="1:49" s="95" customFormat="1" ht="18" customHeight="1" x14ac:dyDescent="0.2">
      <c r="A19" s="176" t="s">
        <v>73</v>
      </c>
      <c r="B19" s="307">
        <v>35000</v>
      </c>
      <c r="C19" s="307">
        <v>35000</v>
      </c>
      <c r="D19" s="307">
        <v>20000</v>
      </c>
      <c r="E19" s="307">
        <v>20000</v>
      </c>
      <c r="F19" s="307">
        <v>10000</v>
      </c>
      <c r="G19" s="306">
        <v>0</v>
      </c>
      <c r="H19" s="306">
        <v>0</v>
      </c>
      <c r="I19" s="98"/>
      <c r="J19" s="98"/>
      <c r="K19" s="268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">
      <c r="A20" s="176" t="s">
        <v>74</v>
      </c>
      <c r="B20" s="58">
        <f>(B17+B16)-B18</f>
        <v>292220.56500000006</v>
      </c>
      <c r="C20" s="217">
        <f t="shared" ref="C20:H20" si="1">(C17+C16)-C18</f>
        <v>166983.18000000005</v>
      </c>
      <c r="D20" s="217">
        <f t="shared" si="1"/>
        <v>185600.535</v>
      </c>
      <c r="E20" s="217">
        <f t="shared" si="1"/>
        <v>185600.535</v>
      </c>
      <c r="F20" s="217">
        <f t="shared" si="1"/>
        <v>7454.6062500000007</v>
      </c>
      <c r="G20" s="217">
        <f t="shared" si="1"/>
        <v>0</v>
      </c>
      <c r="H20" s="217">
        <f t="shared" si="1"/>
        <v>0</v>
      </c>
      <c r="I20" s="59"/>
      <c r="J20" s="59"/>
      <c r="K20" s="268">
        <v>20</v>
      </c>
      <c r="L20" s="78"/>
      <c r="M20" s="78">
        <v>0</v>
      </c>
      <c r="O20" s="28"/>
      <c r="P20" s="49" t="str">
        <f t="shared" ref="P20:V20" si="2">B9</f>
        <v>مدني_حسكه</v>
      </c>
      <c r="Q20" s="49" t="str">
        <f t="shared" si="2"/>
        <v>معماري_سري_كانييه</v>
      </c>
      <c r="R20" s="49" t="str">
        <f t="shared" si="2"/>
        <v>كهربا_حسكه</v>
      </c>
      <c r="S20" s="49" t="str">
        <f t="shared" si="2"/>
        <v>ميكانيك_سري_كانييه</v>
      </c>
      <c r="T20" s="49" t="str">
        <f t="shared" si="2"/>
        <v>مائية_حسكه</v>
      </c>
      <c r="U20" s="49" t="str">
        <f t="shared" si="2"/>
        <v>تربة_حسكه</v>
      </c>
      <c r="V20" s="49" t="str">
        <f t="shared" si="2"/>
        <v>تربة_حسكه</v>
      </c>
      <c r="W20" s="322" t="s">
        <v>49</v>
      </c>
      <c r="X20" s="322"/>
      <c r="Y20" s="322" t="s">
        <v>50</v>
      </c>
      <c r="Z20" s="322"/>
    </row>
    <row r="21" spans="1:49" ht="21.75" customHeight="1" x14ac:dyDescent="0.2">
      <c r="A21" s="261" t="s">
        <v>40</v>
      </c>
      <c r="B21" s="260" t="s">
        <v>342</v>
      </c>
      <c r="C21" s="260" t="s">
        <v>100</v>
      </c>
      <c r="D21" s="260" t="s">
        <v>331</v>
      </c>
      <c r="E21" s="260" t="s">
        <v>330</v>
      </c>
      <c r="F21" s="263"/>
      <c r="G21" s="264"/>
      <c r="H21" s="264"/>
      <c r="I21" s="264"/>
      <c r="J21" s="264"/>
      <c r="K21" s="268">
        <v>21</v>
      </c>
      <c r="L21" s="78" t="s">
        <v>311</v>
      </c>
      <c r="M21" s="78">
        <v>0.25</v>
      </c>
      <c r="O21" s="28"/>
      <c r="P21" s="320" t="str">
        <f t="shared" ref="P21:V21" si="3">B12</f>
        <v>داخل الصندوق 25%</v>
      </c>
      <c r="Q21" s="320" t="str">
        <f t="shared" si="3"/>
        <v>داخل الصندوق 25%</v>
      </c>
      <c r="R21" s="320" t="str">
        <f t="shared" si="3"/>
        <v>داخل الصندوق 25%</v>
      </c>
      <c r="S21" s="320" t="str">
        <f t="shared" si="3"/>
        <v>داخل الصندوق 25%</v>
      </c>
      <c r="T21" s="320" t="str">
        <f t="shared" si="3"/>
        <v>داخل الصندوق 25%</v>
      </c>
      <c r="U21" s="320" t="str">
        <f t="shared" si="3"/>
        <v>خارج الصندوق10%</v>
      </c>
      <c r="V21" s="320" t="str">
        <f t="shared" si="3"/>
        <v>خارج الصندوق10%</v>
      </c>
      <c r="W21" s="322"/>
      <c r="X21" s="322"/>
      <c r="Y21" s="322"/>
      <c r="Z21" s="322"/>
    </row>
    <row r="22" spans="1:49" s="134" customFormat="1" ht="19.5" customHeight="1" x14ac:dyDescent="0.2">
      <c r="A22" s="259" t="s">
        <v>152</v>
      </c>
      <c r="B22" s="262" t="s">
        <v>312</v>
      </c>
      <c r="C22" s="262" t="s">
        <v>312</v>
      </c>
      <c r="D22" s="262" t="s">
        <v>312</v>
      </c>
      <c r="E22" s="262" t="s">
        <v>312</v>
      </c>
      <c r="F22" s="263"/>
      <c r="G22" s="264"/>
      <c r="H22" s="264"/>
      <c r="I22" s="264"/>
      <c r="J22" s="264"/>
      <c r="K22" s="268">
        <v>22</v>
      </c>
      <c r="L22" s="78" t="s">
        <v>276</v>
      </c>
      <c r="M22" s="78">
        <v>0.4</v>
      </c>
      <c r="O22" s="28"/>
      <c r="P22" s="320"/>
      <c r="Q22" s="320"/>
      <c r="R22" s="320"/>
      <c r="S22" s="320"/>
      <c r="T22" s="320"/>
      <c r="U22" s="320"/>
      <c r="V22" s="320"/>
      <c r="W22" s="322"/>
      <c r="X22" s="322"/>
      <c r="Y22" s="322"/>
      <c r="Z22" s="322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18" customHeight="1" x14ac:dyDescent="0.2">
      <c r="A23" s="176" t="s">
        <v>8</v>
      </c>
      <c r="B23" s="58">
        <f>B14/5</f>
        <v>77925.484000000011</v>
      </c>
      <c r="C23" s="272">
        <f>C14/5</f>
        <v>44528.848000000013</v>
      </c>
      <c r="D23" s="272">
        <f>D14/5</f>
        <v>49493.476000000002</v>
      </c>
      <c r="E23" s="272">
        <f>E14/5</f>
        <v>49493.476000000002</v>
      </c>
      <c r="F23" s="168"/>
      <c r="G23" s="59"/>
      <c r="H23" s="59"/>
      <c r="I23" s="59"/>
      <c r="J23" s="59"/>
      <c r="K23" s="268">
        <v>23</v>
      </c>
      <c r="L23" s="78"/>
      <c r="M23" s="78">
        <v>0</v>
      </c>
      <c r="O23" s="44" t="s">
        <v>36</v>
      </c>
      <c r="P23" s="87">
        <f>B14</f>
        <v>389627.42000000004</v>
      </c>
      <c r="Q23" s="87">
        <f t="shared" ref="Q23:V23" si="4">C14</f>
        <v>222644.24000000005</v>
      </c>
      <c r="R23" s="87">
        <f t="shared" si="4"/>
        <v>247467.38</v>
      </c>
      <c r="S23" s="87">
        <f t="shared" si="4"/>
        <v>247467.38</v>
      </c>
      <c r="T23" s="87">
        <f t="shared" si="4"/>
        <v>9939.4750000000004</v>
      </c>
      <c r="U23" s="87">
        <f t="shared" si="4"/>
        <v>0</v>
      </c>
      <c r="V23" s="87">
        <f t="shared" si="4"/>
        <v>0</v>
      </c>
      <c r="W23" s="314">
        <f>I13</f>
        <v>87701.249999999985</v>
      </c>
      <c r="X23" s="315"/>
      <c r="Y23" s="314">
        <f>W23</f>
        <v>87701.249999999985</v>
      </c>
      <c r="Z23" s="315"/>
      <c r="AA23" s="265">
        <f>SUM(P23:Z23,P26,Q26,R26,S26,T26,P35,Q35,R35,S35)</f>
        <v>1513989.6790000002</v>
      </c>
    </row>
    <row r="24" spans="1:49" ht="21" customHeight="1" x14ac:dyDescent="0.2">
      <c r="A24" s="176" t="s">
        <v>44</v>
      </c>
      <c r="B24" s="132">
        <f>B23</f>
        <v>77925.484000000011</v>
      </c>
      <c r="C24" s="132">
        <f>C23</f>
        <v>44528.848000000013</v>
      </c>
      <c r="D24" s="132">
        <f>D23</f>
        <v>49493.476000000002</v>
      </c>
      <c r="E24" s="132">
        <f>E23</f>
        <v>49493.476000000002</v>
      </c>
      <c r="F24" s="168"/>
      <c r="G24" s="133"/>
      <c r="H24" s="133"/>
      <c r="I24" s="133"/>
      <c r="J24" s="133"/>
      <c r="O24" s="44" t="s">
        <v>38</v>
      </c>
      <c r="P24" s="87">
        <f>B15</f>
        <v>97406.85500000001</v>
      </c>
      <c r="Q24" s="87">
        <f t="shared" ref="Q24:V24" si="5">C15</f>
        <v>55661.060000000012</v>
      </c>
      <c r="R24" s="87">
        <f t="shared" si="5"/>
        <v>61866.845000000001</v>
      </c>
      <c r="S24" s="87">
        <f t="shared" si="5"/>
        <v>61866.845000000001</v>
      </c>
      <c r="T24" s="87">
        <f t="shared" si="5"/>
        <v>2484.8687500000001</v>
      </c>
      <c r="U24" s="87">
        <f t="shared" si="5"/>
        <v>0</v>
      </c>
      <c r="V24" s="87">
        <f t="shared" si="5"/>
        <v>0</v>
      </c>
      <c r="W24" s="332" t="s">
        <v>46</v>
      </c>
      <c r="X24" s="333"/>
      <c r="Y24" s="332" t="s">
        <v>46</v>
      </c>
      <c r="Z24" s="333"/>
      <c r="AA24" s="51">
        <v>65000</v>
      </c>
    </row>
    <row r="25" spans="1:49" s="134" customFormat="1" ht="21" customHeight="1" x14ac:dyDescent="0.2">
      <c r="A25" s="176" t="s">
        <v>39</v>
      </c>
      <c r="B25" s="132">
        <f>B23-B24</f>
        <v>0</v>
      </c>
      <c r="C25" s="132">
        <f>C23-C24</f>
        <v>0</v>
      </c>
      <c r="D25" s="303">
        <f t="shared" ref="D25:E25" si="6">D23-D24</f>
        <v>0</v>
      </c>
      <c r="E25" s="303">
        <f t="shared" si="6"/>
        <v>0</v>
      </c>
      <c r="F25" s="168"/>
      <c r="G25" s="133"/>
      <c r="H25" s="133"/>
      <c r="I25" s="133"/>
      <c r="J25" s="133"/>
      <c r="L25" s="313" t="s">
        <v>194</v>
      </c>
      <c r="M25" s="313"/>
      <c r="O25" s="44" t="s">
        <v>37</v>
      </c>
      <c r="P25" s="87">
        <f>B16</f>
        <v>292220.56500000006</v>
      </c>
      <c r="Q25" s="87">
        <f t="shared" ref="Q25:V25" si="7">C16</f>
        <v>166983.18000000005</v>
      </c>
      <c r="R25" s="87">
        <f t="shared" si="7"/>
        <v>185600.535</v>
      </c>
      <c r="S25" s="87">
        <f t="shared" si="7"/>
        <v>185600.535</v>
      </c>
      <c r="T25" s="87">
        <f t="shared" si="7"/>
        <v>7454.6062500000007</v>
      </c>
      <c r="U25" s="87">
        <f t="shared" si="7"/>
        <v>0</v>
      </c>
      <c r="V25" s="87">
        <f t="shared" si="7"/>
        <v>0</v>
      </c>
      <c r="W25" s="332" t="s">
        <v>46</v>
      </c>
      <c r="X25" s="333"/>
      <c r="Y25" s="332" t="s">
        <v>46</v>
      </c>
      <c r="Z25" s="333"/>
      <c r="AA25" s="265">
        <f>AA23+AA24</f>
        <v>1578989.6790000002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ht="20.25" customHeight="1" x14ac:dyDescent="0.2">
      <c r="A26" s="178" t="s">
        <v>14</v>
      </c>
      <c r="B26" s="135">
        <f>B14+C14+D14+E14+F14+G14+H14+I13+J13+B17+C17+D17+E17+F17+B23+C23+D23+E23</f>
        <v>1513989.6790000002</v>
      </c>
      <c r="C26" s="83">
        <f>B14+C14+D14+E14+F14+G14+H14+I13+J13+B17+C17+D17+E17+F17+B23+C23+D23+E23</f>
        <v>1513989.6790000002</v>
      </c>
      <c r="D26" s="14"/>
      <c r="E26" s="14"/>
      <c r="F26" s="14"/>
      <c r="G26" s="14"/>
      <c r="H26" s="14"/>
      <c r="I26" s="14"/>
      <c r="J26" s="27"/>
      <c r="L26" s="170" t="s">
        <v>0</v>
      </c>
      <c r="M26" s="78">
        <v>49</v>
      </c>
      <c r="O26" s="44" t="s">
        <v>19</v>
      </c>
      <c r="P26" s="87">
        <f>B17</f>
        <v>0</v>
      </c>
      <c r="Q26" s="87">
        <f t="shared" ref="Q26:T26" si="8">C17</f>
        <v>0</v>
      </c>
      <c r="R26" s="87">
        <f t="shared" si="8"/>
        <v>0</v>
      </c>
      <c r="S26" s="87">
        <f t="shared" si="8"/>
        <v>0</v>
      </c>
      <c r="T26" s="87">
        <f t="shared" si="8"/>
        <v>0</v>
      </c>
      <c r="U26" s="88" t="s">
        <v>34</v>
      </c>
      <c r="V26" s="88" t="s">
        <v>34</v>
      </c>
      <c r="W26" s="332" t="s">
        <v>46</v>
      </c>
      <c r="X26" s="333"/>
      <c r="Y26" s="332" t="s">
        <v>46</v>
      </c>
      <c r="Z26" s="333"/>
    </row>
    <row r="27" spans="1:49" ht="18.75" customHeight="1" x14ac:dyDescent="0.2">
      <c r="A27" s="179" t="s">
        <v>15</v>
      </c>
      <c r="B27" s="97">
        <f>SUM(B19:H19)</f>
        <v>120000</v>
      </c>
      <c r="C27" s="14"/>
      <c r="D27" s="14"/>
      <c r="E27" s="14"/>
      <c r="F27" s="14"/>
      <c r="G27" s="14"/>
      <c r="H27" s="14"/>
      <c r="I27" s="14"/>
      <c r="J27" s="27"/>
      <c r="L27" s="170" t="s">
        <v>1</v>
      </c>
      <c r="M27" s="78">
        <v>28</v>
      </c>
      <c r="O27" s="44" t="s">
        <v>177</v>
      </c>
      <c r="P27" s="226">
        <f t="shared" ref="P27:V27" si="9">B20</f>
        <v>292220.56500000006</v>
      </c>
      <c r="Q27" s="226">
        <f t="shared" si="9"/>
        <v>166983.18000000005</v>
      </c>
      <c r="R27" s="226">
        <f t="shared" si="9"/>
        <v>185600.535</v>
      </c>
      <c r="S27" s="226">
        <f t="shared" si="9"/>
        <v>185600.535</v>
      </c>
      <c r="T27" s="226">
        <f t="shared" si="9"/>
        <v>7454.6062500000007</v>
      </c>
      <c r="U27" s="226">
        <f t="shared" si="9"/>
        <v>0</v>
      </c>
      <c r="V27" s="226">
        <f t="shared" si="9"/>
        <v>0</v>
      </c>
      <c r="W27" s="332" t="s">
        <v>46</v>
      </c>
      <c r="X27" s="333"/>
      <c r="Y27" s="332" t="s">
        <v>46</v>
      </c>
      <c r="Z27" s="333"/>
    </row>
    <row r="28" spans="1:49" ht="22.5" customHeight="1" x14ac:dyDescent="0.2">
      <c r="A28" s="180" t="s">
        <v>16</v>
      </c>
      <c r="B28" s="96">
        <f>C41</f>
        <v>1633989.6790000002</v>
      </c>
      <c r="C28" s="83"/>
      <c r="D28" s="14"/>
      <c r="E28" s="14"/>
      <c r="F28" s="14"/>
      <c r="G28" s="14"/>
      <c r="H28" s="83"/>
      <c r="I28" s="83">
        <f>B13+C13+D13+E13+F13</f>
        <v>2210</v>
      </c>
      <c r="J28" s="27"/>
      <c r="K28" s="265">
        <f>B20+C20+D20+E20+F20+G20+H20</f>
        <v>837859.42125000013</v>
      </c>
      <c r="L28" s="170" t="s">
        <v>179</v>
      </c>
      <c r="M28" s="78">
        <v>11</v>
      </c>
      <c r="O28" s="156" t="s">
        <v>155</v>
      </c>
      <c r="P28" s="87">
        <f t="shared" ref="P28:V28" si="10">B20+B19</f>
        <v>327220.56500000006</v>
      </c>
      <c r="Q28" s="87">
        <f t="shared" si="10"/>
        <v>201983.18000000005</v>
      </c>
      <c r="R28" s="87">
        <f t="shared" si="10"/>
        <v>205600.535</v>
      </c>
      <c r="S28" s="87">
        <f t="shared" si="10"/>
        <v>205600.535</v>
      </c>
      <c r="T28" s="87">
        <f t="shared" si="10"/>
        <v>17454.606250000001</v>
      </c>
      <c r="U28" s="87">
        <v>0</v>
      </c>
      <c r="V28" s="87">
        <f t="shared" si="10"/>
        <v>0</v>
      </c>
      <c r="W28" s="332" t="s">
        <v>46</v>
      </c>
      <c r="X28" s="333"/>
      <c r="Y28" s="332" t="s">
        <v>46</v>
      </c>
      <c r="Z28" s="333"/>
    </row>
    <row r="29" spans="1:49" ht="21.75" customHeight="1" x14ac:dyDescent="0.2">
      <c r="A29" s="181"/>
      <c r="B29" s="11"/>
      <c r="C29" s="14"/>
      <c r="D29" s="14"/>
      <c r="E29" s="14"/>
      <c r="F29" s="14"/>
      <c r="G29" s="14"/>
      <c r="H29" s="14"/>
      <c r="I29" s="14">
        <f>I28+(I28/4)</f>
        <v>2762.5</v>
      </c>
      <c r="J29" s="27"/>
      <c r="L29" s="170" t="s">
        <v>3</v>
      </c>
      <c r="M29" s="78">
        <v>11</v>
      </c>
      <c r="O29" s="343" t="s">
        <v>40</v>
      </c>
      <c r="P29" s="321" t="str">
        <f t="shared" ref="P29:V29" si="11">B10</f>
        <v>عبدالعزيز شيخي</v>
      </c>
      <c r="Q29" s="321" t="str">
        <f t="shared" si="11"/>
        <v>فاضل ابراهيم</v>
      </c>
      <c r="R29" s="321" t="str">
        <f t="shared" si="11"/>
        <v>عادل باشا</v>
      </c>
      <c r="S29" s="321" t="str">
        <f t="shared" si="11"/>
        <v>محمود سالم</v>
      </c>
      <c r="T29" s="321" t="str">
        <f t="shared" si="11"/>
        <v>عبدالعزيز شيخي</v>
      </c>
      <c r="U29" s="321" t="str">
        <f t="shared" si="11"/>
        <v>جمعة محمود</v>
      </c>
      <c r="V29" s="321" t="str">
        <f t="shared" si="11"/>
        <v>احمد العوض</v>
      </c>
      <c r="W29" s="330" t="s">
        <v>46</v>
      </c>
      <c r="X29" s="330"/>
      <c r="Y29" s="330" t="s">
        <v>46</v>
      </c>
      <c r="Z29" s="330"/>
    </row>
    <row r="30" spans="1:49" s="95" customFormat="1" ht="20.25" customHeight="1" x14ac:dyDescent="0.2">
      <c r="A30" s="94"/>
      <c r="B30" s="104"/>
      <c r="C30" s="14"/>
      <c r="D30" s="14"/>
      <c r="E30" s="14"/>
      <c r="F30" s="14"/>
      <c r="G30" s="14"/>
      <c r="H30" s="14"/>
      <c r="I30" s="14"/>
      <c r="J30" s="27"/>
      <c r="L30" s="170" t="s">
        <v>195</v>
      </c>
      <c r="M30" s="78">
        <v>1</v>
      </c>
      <c r="O30" s="343"/>
      <c r="P30" s="321"/>
      <c r="Q30" s="321"/>
      <c r="R30" s="321"/>
      <c r="S30" s="321"/>
      <c r="T30" s="321"/>
      <c r="U30" s="321"/>
      <c r="V30" s="321"/>
      <c r="W30" s="330"/>
      <c r="X30" s="330"/>
      <c r="Y30" s="330"/>
      <c r="Z30" s="330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</row>
    <row r="31" spans="1:49" ht="30.75" customHeight="1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3"/>
      <c r="L31" s="170" t="s">
        <v>196</v>
      </c>
      <c r="M31" s="78">
        <f>M26+M27+M28+M29+M30</f>
        <v>100</v>
      </c>
      <c r="O31" s="44" t="s">
        <v>20</v>
      </c>
      <c r="P31" s="33"/>
      <c r="Q31" s="32"/>
      <c r="R31" s="33"/>
      <c r="S31" s="33"/>
      <c r="T31" s="33"/>
      <c r="U31" s="33"/>
      <c r="V31" s="33"/>
      <c r="W31" s="332" t="s">
        <v>46</v>
      </c>
      <c r="X31" s="333"/>
      <c r="Y31" s="332" t="s">
        <v>46</v>
      </c>
      <c r="Z31" s="333"/>
    </row>
    <row r="32" spans="1:49" s="12" customFormat="1" ht="35.25" customHeight="1" x14ac:dyDescent="0.2">
      <c r="J32" s="13"/>
      <c r="K32" s="13"/>
      <c r="L32" s="13"/>
      <c r="M32" s="13"/>
      <c r="N32" s="13"/>
      <c r="O32" s="195" t="s">
        <v>237</v>
      </c>
      <c r="P32" s="196" t="str">
        <f t="shared" ref="P32:V32" si="12">B11</f>
        <v>لايوجد</v>
      </c>
      <c r="Q32" s="196" t="str">
        <f t="shared" si="12"/>
        <v>لايوجد</v>
      </c>
      <c r="R32" s="196" t="str">
        <f t="shared" si="12"/>
        <v>لايوجد</v>
      </c>
      <c r="S32" s="196" t="str">
        <f t="shared" si="12"/>
        <v>لايوجد</v>
      </c>
      <c r="T32" s="196" t="str">
        <f t="shared" si="12"/>
        <v>لا يوجد</v>
      </c>
      <c r="U32" s="196" t="str">
        <f t="shared" si="12"/>
        <v>لايوجد</v>
      </c>
      <c r="V32" s="196" t="str">
        <f t="shared" si="12"/>
        <v>لايوجد</v>
      </c>
      <c r="W32" s="332" t="s">
        <v>46</v>
      </c>
      <c r="X32" s="333"/>
      <c r="Y32" s="332" t="s">
        <v>46</v>
      </c>
      <c r="Z32" s="33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</row>
    <row r="33" spans="2:49" s="12" customFormat="1" ht="29.25" customHeight="1" x14ac:dyDescent="0.2">
      <c r="J33" s="13"/>
      <c r="K33" s="13"/>
      <c r="L33" s="313" t="s">
        <v>204</v>
      </c>
      <c r="M33" s="313"/>
      <c r="N33" s="13"/>
      <c r="O33" s="44" t="s">
        <v>239</v>
      </c>
      <c r="P33" s="226">
        <f>B18</f>
        <v>0</v>
      </c>
      <c r="Q33" s="226">
        <f t="shared" ref="Q33:V33" si="13">C18</f>
        <v>0</v>
      </c>
      <c r="R33" s="226">
        <f t="shared" si="13"/>
        <v>0</v>
      </c>
      <c r="S33" s="226">
        <f t="shared" si="13"/>
        <v>0</v>
      </c>
      <c r="T33" s="226">
        <f t="shared" si="13"/>
        <v>0</v>
      </c>
      <c r="U33" s="226">
        <f t="shared" si="13"/>
        <v>0</v>
      </c>
      <c r="V33" s="226">
        <f t="shared" si="13"/>
        <v>0</v>
      </c>
      <c r="W33" s="332" t="s">
        <v>46</v>
      </c>
      <c r="X33" s="333"/>
      <c r="Y33" s="332" t="s">
        <v>46</v>
      </c>
      <c r="Z33" s="33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2:49" s="12" customFormat="1" ht="27.75" customHeight="1" x14ac:dyDescent="0.2">
      <c r="J34" s="13"/>
      <c r="K34" s="13"/>
      <c r="L34" s="170" t="s">
        <v>206</v>
      </c>
      <c r="M34" s="78" t="s">
        <v>205</v>
      </c>
      <c r="N34" s="13"/>
      <c r="O34" s="195" t="s">
        <v>240</v>
      </c>
      <c r="P34" s="33"/>
      <c r="Q34" s="32"/>
      <c r="R34" s="228"/>
      <c r="S34" s="33"/>
      <c r="T34" s="33"/>
      <c r="U34" s="33"/>
      <c r="V34" s="33"/>
      <c r="W34" s="330" t="s">
        <v>46</v>
      </c>
      <c r="X34" s="395"/>
      <c r="Y34" s="330" t="s">
        <v>46</v>
      </c>
      <c r="Z34" s="395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2:49" s="12" customFormat="1" ht="26.25" customHeight="1" thickBot="1" x14ac:dyDescent="0.25">
      <c r="J35" s="13"/>
      <c r="K35" s="205"/>
      <c r="L35" s="170" t="s">
        <v>207</v>
      </c>
      <c r="M35" s="78" t="s">
        <v>210</v>
      </c>
      <c r="N35" s="13"/>
      <c r="O35" s="44" t="s">
        <v>8</v>
      </c>
      <c r="P35" s="87">
        <f>B23</f>
        <v>77925.484000000011</v>
      </c>
      <c r="Q35" s="87">
        <f>C23</f>
        <v>44528.848000000013</v>
      </c>
      <c r="R35" s="87">
        <f t="shared" ref="R35:S35" si="14">D23</f>
        <v>49493.476000000002</v>
      </c>
      <c r="S35" s="87">
        <f t="shared" si="14"/>
        <v>49493.476000000002</v>
      </c>
      <c r="T35" s="227"/>
      <c r="U35" s="227"/>
      <c r="V35" s="227"/>
      <c r="W35" s="392"/>
      <c r="X35" s="393"/>
      <c r="Y35" s="392"/>
      <c r="Z35" s="39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2:49" ht="24.75" customHeight="1" x14ac:dyDescent="0.2">
      <c r="J36" s="13"/>
      <c r="K36" s="205"/>
      <c r="L36" s="170" t="s">
        <v>208</v>
      </c>
      <c r="M36" s="78" t="s">
        <v>211</v>
      </c>
      <c r="N36" s="52"/>
      <c r="O36" s="44" t="s">
        <v>38</v>
      </c>
      <c r="P36" s="87">
        <f>B24</f>
        <v>77925.484000000011</v>
      </c>
      <c r="Q36" s="87">
        <f>C24</f>
        <v>44528.848000000013</v>
      </c>
      <c r="R36" s="87">
        <f t="shared" ref="R36:S36" si="15">D24</f>
        <v>49493.476000000002</v>
      </c>
      <c r="S36" s="87">
        <f t="shared" si="15"/>
        <v>49493.476000000002</v>
      </c>
      <c r="T36" s="227"/>
      <c r="U36" s="324" t="s">
        <v>347</v>
      </c>
      <c r="V36" s="325"/>
      <c r="W36" s="394"/>
      <c r="X36" s="393"/>
      <c r="Y36" s="392"/>
      <c r="Z36" s="392"/>
    </row>
    <row r="37" spans="2:49" ht="22.5" customHeight="1" thickBot="1" x14ac:dyDescent="0.25">
      <c r="B37" s="308" t="s">
        <v>348</v>
      </c>
      <c r="C37" s="309">
        <f>SUM(P24:T24)</f>
        <v>279286.47375000006</v>
      </c>
      <c r="J37" s="13"/>
      <c r="K37" s="205"/>
      <c r="L37" s="170" t="s">
        <v>191</v>
      </c>
      <c r="M37" s="78" t="s">
        <v>213</v>
      </c>
      <c r="N37" s="52"/>
      <c r="O37" s="44" t="s">
        <v>39</v>
      </c>
      <c r="P37" s="226">
        <f>P35-P36</f>
        <v>0</v>
      </c>
      <c r="Q37" s="226">
        <f>Q35-Q36</f>
        <v>0</v>
      </c>
      <c r="R37" s="226">
        <f t="shared" ref="R37:S37" si="16">R35-R36</f>
        <v>0</v>
      </c>
      <c r="S37" s="226">
        <f t="shared" si="16"/>
        <v>0</v>
      </c>
      <c r="U37" s="326">
        <f>SUM(P28:T28,P33:V33)</f>
        <v>957859.42125000013</v>
      </c>
      <c r="V37" s="327"/>
      <c r="Z37" s="230"/>
    </row>
    <row r="38" spans="2:49" ht="23.25" customHeight="1" x14ac:dyDescent="0.2">
      <c r="B38" s="308" t="s">
        <v>349</v>
      </c>
      <c r="C38" s="309">
        <f>SUM(P35:S35)</f>
        <v>221441.28400000001</v>
      </c>
      <c r="K38" s="205"/>
      <c r="L38" s="170" t="s">
        <v>209</v>
      </c>
      <c r="M38" s="78" t="s">
        <v>212</v>
      </c>
      <c r="N38" s="52"/>
      <c r="O38" s="343" t="s">
        <v>21</v>
      </c>
      <c r="P38" s="321" t="str">
        <f>B21</f>
        <v>حسين العلي</v>
      </c>
      <c r="Q38" s="321" t="str">
        <f>C21</f>
        <v>اسماعيل الزوبع</v>
      </c>
      <c r="R38" s="321" t="str">
        <f t="shared" ref="R38:S38" si="17">D21</f>
        <v>بدران سيدو</v>
      </c>
      <c r="S38" s="321" t="str">
        <f t="shared" si="17"/>
        <v>فريدة عبدو</v>
      </c>
      <c r="T38" s="397"/>
      <c r="U38" s="397"/>
      <c r="V38" s="397"/>
      <c r="W38" s="397"/>
      <c r="X38" s="331"/>
      <c r="Y38" s="331"/>
      <c r="Z38" s="229"/>
    </row>
    <row r="39" spans="2:49" ht="25.5" customHeight="1" x14ac:dyDescent="0.2">
      <c r="B39" s="308" t="s">
        <v>350</v>
      </c>
      <c r="C39" s="308">
        <f>W23*2</f>
        <v>175402.49999999997</v>
      </c>
      <c r="K39" s="205"/>
      <c r="L39" s="170"/>
      <c r="M39" s="78"/>
      <c r="N39" s="52"/>
      <c r="O39" s="343"/>
      <c r="P39" s="321"/>
      <c r="Q39" s="321"/>
      <c r="R39" s="321"/>
      <c r="S39" s="321"/>
      <c r="T39" s="396" t="s">
        <v>53</v>
      </c>
      <c r="U39" s="396"/>
      <c r="V39" s="396"/>
      <c r="W39" s="396"/>
      <c r="X39" s="361" t="str">
        <f>C2</f>
        <v>الحسكه</v>
      </c>
      <c r="Y39" s="361"/>
      <c r="Z39" s="361"/>
    </row>
    <row r="40" spans="2:49" s="158" customFormat="1" ht="23.25" customHeight="1" x14ac:dyDescent="0.2">
      <c r="B40" s="308" t="s">
        <v>351</v>
      </c>
      <c r="C40" s="309">
        <f>SUM(P28:T28,P33)</f>
        <v>957859.42125000013</v>
      </c>
      <c r="F40" s="169"/>
      <c r="K40" s="205"/>
      <c r="N40" s="157"/>
      <c r="O40" s="44" t="s">
        <v>22</v>
      </c>
      <c r="P40" s="33"/>
      <c r="Q40" s="33"/>
      <c r="R40" s="266"/>
      <c r="S40" s="266"/>
      <c r="T40" s="227"/>
      <c r="U40" s="227"/>
      <c r="V40" s="227"/>
      <c r="W40" s="392"/>
      <c r="X40" s="393"/>
      <c r="Y40" s="392"/>
      <c r="Z40" s="39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2:49" ht="24" thickBot="1" x14ac:dyDescent="0.25">
      <c r="B41" s="308" t="s">
        <v>16</v>
      </c>
      <c r="C41" s="309">
        <f>SUM(C37:C40)</f>
        <v>1633989.6790000002</v>
      </c>
      <c r="K41" s="205"/>
      <c r="L41" s="360" t="s">
        <v>157</v>
      </c>
      <c r="M41" s="360"/>
      <c r="N41" s="22"/>
      <c r="U41" s="311" t="s">
        <v>356</v>
      </c>
      <c r="V41" s="312">
        <f>SUM(W23:Z23)</f>
        <v>175402.49999999997</v>
      </c>
    </row>
    <row r="42" spans="2:49" ht="18.75" thickBot="1" x14ac:dyDescent="0.25">
      <c r="K42" s="219"/>
      <c r="L42" s="114" t="s">
        <v>158</v>
      </c>
      <c r="M42" s="78">
        <v>8000</v>
      </c>
      <c r="N42" s="56"/>
      <c r="O42" s="158"/>
      <c r="P42" s="304" t="s">
        <v>343</v>
      </c>
      <c r="Q42" s="305">
        <f>SUM(P24:Q24,T24)</f>
        <v>155552.78375000003</v>
      </c>
      <c r="R42" s="304" t="s">
        <v>345</v>
      </c>
      <c r="S42" s="305">
        <f>SUM(P35:Q35)</f>
        <v>122454.33200000002</v>
      </c>
      <c r="Z42" s="158"/>
    </row>
    <row r="43" spans="2:49" s="29" customFormat="1" ht="20.25" customHeight="1" thickBot="1" x14ac:dyDescent="0.25">
      <c r="F43" s="166"/>
      <c r="K43" s="221"/>
      <c r="L43" s="115" t="s">
        <v>159</v>
      </c>
      <c r="M43" s="78">
        <v>10000</v>
      </c>
      <c r="N43" s="55"/>
      <c r="P43" s="304" t="s">
        <v>344</v>
      </c>
      <c r="Q43" s="305">
        <f>SUM(R24:S24)</f>
        <v>123733.69</v>
      </c>
      <c r="R43" s="304" t="s">
        <v>346</v>
      </c>
      <c r="S43" s="305">
        <f>SUM(R35:S35)</f>
        <v>98986.952000000005</v>
      </c>
      <c r="U43" s="310" t="s">
        <v>357</v>
      </c>
      <c r="V43" s="309">
        <f>SUM(Q42:Q43,S42:S43)</f>
        <v>500727.75775000005</v>
      </c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</row>
    <row r="44" spans="2:49" s="29" customFormat="1" ht="20.25" customHeight="1" thickBot="1" x14ac:dyDescent="0.25">
      <c r="F44" s="166"/>
      <c r="K44" s="221"/>
      <c r="L44" s="115" t="s">
        <v>160</v>
      </c>
      <c r="M44" s="78">
        <v>13000</v>
      </c>
      <c r="N44" s="55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</row>
    <row r="45" spans="2:49" s="29" customFormat="1" ht="20.25" customHeight="1" thickBot="1" x14ac:dyDescent="0.25">
      <c r="F45" s="166"/>
      <c r="K45" s="220"/>
      <c r="L45" s="115" t="s">
        <v>161</v>
      </c>
      <c r="M45" s="78">
        <v>15000</v>
      </c>
      <c r="N45" s="54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</row>
    <row r="46" spans="2:49" s="29" customFormat="1" ht="20.25" customHeight="1" thickBot="1" x14ac:dyDescent="0.25">
      <c r="F46" s="166"/>
      <c r="K46" s="220"/>
      <c r="L46" s="115" t="s">
        <v>162</v>
      </c>
      <c r="M46" s="78">
        <v>18000</v>
      </c>
      <c r="N46" s="54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</row>
    <row r="47" spans="2:49" s="29" customFormat="1" ht="20.25" customHeight="1" thickBot="1" x14ac:dyDescent="0.25">
      <c r="F47" s="166"/>
      <c r="K47" s="221"/>
      <c r="L47" s="115" t="s">
        <v>163</v>
      </c>
      <c r="M47" s="78">
        <v>20000</v>
      </c>
      <c r="N47" s="54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</row>
    <row r="48" spans="2:49" s="29" customFormat="1" ht="20.25" customHeight="1" thickBot="1" x14ac:dyDescent="0.25">
      <c r="F48" s="166"/>
      <c r="K48" s="220"/>
      <c r="L48" s="114" t="s">
        <v>164</v>
      </c>
      <c r="M48" s="78">
        <v>50000</v>
      </c>
      <c r="N48" s="54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</row>
    <row r="49" spans="1:49" s="29" customFormat="1" ht="20.25" customHeight="1" thickBot="1" x14ac:dyDescent="0.25">
      <c r="F49" s="166"/>
      <c r="K49" s="220"/>
      <c r="L49" s="115" t="s">
        <v>165</v>
      </c>
      <c r="M49" s="78">
        <v>55000</v>
      </c>
      <c r="N49" s="54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</row>
    <row r="50" spans="1:49" s="31" customFormat="1" ht="20.25" customHeight="1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221"/>
      <c r="L50" s="116" t="s">
        <v>166</v>
      </c>
      <c r="M50" s="117">
        <v>70000</v>
      </c>
      <c r="N50" s="54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</row>
    <row r="51" spans="1:49" s="31" customFormat="1" ht="20.25" customHeight="1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221"/>
      <c r="L51" s="33" t="s">
        <v>167</v>
      </c>
      <c r="M51" s="78">
        <v>100000</v>
      </c>
      <c r="N51" s="54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</row>
    <row r="52" spans="1:49" s="29" customFormat="1" ht="20.25" customHeight="1" x14ac:dyDescent="0.2">
      <c r="C52" s="29" t="s">
        <v>269</v>
      </c>
      <c r="D52" s="29" t="s">
        <v>270</v>
      </c>
      <c r="E52" s="29" t="s">
        <v>271</v>
      </c>
      <c r="F52" s="166"/>
      <c r="K52" s="222"/>
      <c r="L52" s="244" t="s">
        <v>252</v>
      </c>
      <c r="M52" s="78">
        <v>120000</v>
      </c>
      <c r="N52" s="61"/>
      <c r="T52" s="17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</row>
    <row r="53" spans="1:49" s="29" customFormat="1" ht="20.25" customHeight="1" x14ac:dyDescent="0.2">
      <c r="A53" s="29" t="s">
        <v>257</v>
      </c>
      <c r="B53" s="29">
        <v>0</v>
      </c>
      <c r="F53" s="166"/>
      <c r="K53" s="222"/>
      <c r="L53" s="222"/>
      <c r="M53" s="221"/>
      <c r="N53" s="61"/>
      <c r="T53" s="17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</row>
    <row r="54" spans="1:49" s="29" customFormat="1" ht="20.25" customHeight="1" x14ac:dyDescent="0.2">
      <c r="A54" s="29" t="s">
        <v>258</v>
      </c>
      <c r="B54" s="29">
        <v>0</v>
      </c>
      <c r="C54" s="29">
        <f>B54</f>
        <v>0</v>
      </c>
      <c r="D54" s="29">
        <v>0</v>
      </c>
      <c r="E54" s="29">
        <f>D54</f>
        <v>0</v>
      </c>
      <c r="F54" s="166"/>
      <c r="K54" s="245"/>
      <c r="L54" s="323" t="s">
        <v>253</v>
      </c>
      <c r="M54" s="323"/>
      <c r="N54" s="245"/>
      <c r="T54" s="17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</row>
    <row r="55" spans="1:49" s="184" customFormat="1" ht="20.25" customHeight="1" x14ac:dyDescent="0.2">
      <c r="A55" s="184" t="s">
        <v>278</v>
      </c>
      <c r="B55" s="184">
        <v>0</v>
      </c>
      <c r="C55" s="267">
        <f t="shared" ref="C55:C61" si="18">B55</f>
        <v>0</v>
      </c>
      <c r="D55" s="267">
        <v>0</v>
      </c>
      <c r="E55" s="249">
        <f t="shared" ref="E55:E61" si="19">D55</f>
        <v>0</v>
      </c>
      <c r="K55" s="245"/>
      <c r="L55" s="78" t="s">
        <v>254</v>
      </c>
      <c r="M55" s="78">
        <v>0.5</v>
      </c>
      <c r="N55" s="245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</row>
    <row r="56" spans="1:49" s="29" customFormat="1" ht="20.25" customHeight="1" x14ac:dyDescent="0.2">
      <c r="A56" s="29" t="s">
        <v>259</v>
      </c>
      <c r="B56" s="29">
        <v>0</v>
      </c>
      <c r="C56" s="267">
        <f t="shared" si="18"/>
        <v>0</v>
      </c>
      <c r="D56" s="267">
        <v>0</v>
      </c>
      <c r="E56" s="249">
        <f t="shared" si="19"/>
        <v>0</v>
      </c>
      <c r="F56" s="250"/>
      <c r="G56" s="250"/>
      <c r="H56" s="250"/>
      <c r="K56" s="245"/>
      <c r="L56" s="78" t="s">
        <v>255</v>
      </c>
      <c r="M56" s="78">
        <v>0.7</v>
      </c>
      <c r="N56" s="245"/>
      <c r="T56" s="17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</row>
    <row r="57" spans="1:49" s="29" customFormat="1" ht="20.25" customHeight="1" x14ac:dyDescent="0.2">
      <c r="A57" s="29" t="s">
        <v>260</v>
      </c>
      <c r="B57" s="29">
        <v>0</v>
      </c>
      <c r="C57" s="267">
        <f t="shared" si="18"/>
        <v>0</v>
      </c>
      <c r="D57" s="267">
        <v>0</v>
      </c>
      <c r="E57" s="249">
        <f t="shared" si="19"/>
        <v>0</v>
      </c>
      <c r="F57" s="166"/>
      <c r="K57" s="245"/>
      <c r="L57" s="78" t="s">
        <v>312</v>
      </c>
      <c r="M57" s="78">
        <v>1</v>
      </c>
      <c r="N57" s="245"/>
      <c r="O57" s="44"/>
      <c r="P57" s="87"/>
      <c r="Q57" s="87"/>
      <c r="R57" s="87"/>
      <c r="S57" s="87"/>
      <c r="T57" s="87"/>
      <c r="U57" s="87"/>
      <c r="V57" s="87"/>
      <c r="W57" s="314"/>
      <c r="X57" s="315"/>
      <c r="Y57" s="314"/>
      <c r="Z57" s="315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</row>
    <row r="58" spans="1:49" s="29" customFormat="1" ht="20.25" customHeight="1" x14ac:dyDescent="0.2">
      <c r="A58" s="29" t="s">
        <v>261</v>
      </c>
      <c r="B58" s="29">
        <v>0</v>
      </c>
      <c r="C58" s="267">
        <f t="shared" si="18"/>
        <v>0</v>
      </c>
      <c r="D58" s="267">
        <v>0</v>
      </c>
      <c r="E58" s="249">
        <f t="shared" si="19"/>
        <v>0</v>
      </c>
      <c r="F58" s="166"/>
      <c r="K58" s="245"/>
      <c r="L58" s="78"/>
      <c r="M58" s="78"/>
      <c r="N58" s="245"/>
      <c r="O58" s="44"/>
      <c r="P58" s="87"/>
      <c r="Q58" s="87"/>
      <c r="R58" s="87"/>
      <c r="S58" s="87"/>
      <c r="T58" s="87"/>
      <c r="U58" s="87"/>
      <c r="V58" s="87"/>
      <c r="W58" s="332"/>
      <c r="X58" s="333"/>
      <c r="Y58" s="332"/>
      <c r="Z58" s="33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</row>
    <row r="59" spans="1:49" s="29" customFormat="1" ht="20.25" customHeight="1" x14ac:dyDescent="0.2">
      <c r="A59" s="29" t="s">
        <v>262</v>
      </c>
      <c r="B59" s="29">
        <v>0</v>
      </c>
      <c r="C59" s="267">
        <f t="shared" si="18"/>
        <v>0</v>
      </c>
      <c r="D59" s="267">
        <v>0</v>
      </c>
      <c r="E59" s="249">
        <f t="shared" si="19"/>
        <v>0</v>
      </c>
      <c r="F59" s="166"/>
      <c r="K59" s="245"/>
      <c r="L59" s="78"/>
      <c r="M59" s="78"/>
      <c r="N59" s="245"/>
      <c r="O59" s="44"/>
      <c r="P59" s="87"/>
      <c r="Q59" s="87"/>
      <c r="R59" s="87"/>
      <c r="S59" s="87"/>
      <c r="T59" s="87"/>
      <c r="U59" s="87"/>
      <c r="V59" s="87"/>
      <c r="W59" s="332"/>
      <c r="X59" s="333"/>
      <c r="Y59" s="332"/>
      <c r="Z59" s="33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</row>
    <row r="60" spans="1:49" ht="18" customHeight="1" x14ac:dyDescent="0.2">
      <c r="A60" s="51" t="s">
        <v>263</v>
      </c>
      <c r="B60" s="51">
        <v>0</v>
      </c>
      <c r="C60" s="267">
        <f t="shared" si="18"/>
        <v>0</v>
      </c>
      <c r="D60" s="267">
        <v>0</v>
      </c>
      <c r="E60" s="249">
        <f t="shared" si="19"/>
        <v>0</v>
      </c>
      <c r="K60" s="245"/>
      <c r="L60" s="78"/>
      <c r="M60" s="78"/>
      <c r="N60" s="245"/>
      <c r="O60" s="44"/>
      <c r="P60" s="87"/>
      <c r="Q60" s="87"/>
      <c r="R60" s="87"/>
      <c r="S60" s="87"/>
      <c r="T60" s="87"/>
      <c r="U60" s="87"/>
      <c r="V60" s="87"/>
      <c r="W60" s="332"/>
      <c r="X60" s="333"/>
      <c r="Y60" s="332"/>
      <c r="Z60" s="333"/>
    </row>
    <row r="61" spans="1:49" ht="18" customHeight="1" x14ac:dyDescent="0.2">
      <c r="A61" s="51" t="s">
        <v>277</v>
      </c>
      <c r="B61" s="51">
        <v>0</v>
      </c>
      <c r="C61" s="267">
        <f t="shared" si="18"/>
        <v>0</v>
      </c>
      <c r="D61" s="267">
        <v>0</v>
      </c>
      <c r="E61" s="267">
        <f t="shared" si="19"/>
        <v>0</v>
      </c>
      <c r="K61" s="245"/>
      <c r="L61" s="78"/>
      <c r="M61" s="78"/>
      <c r="N61" s="245"/>
      <c r="O61" s="44"/>
      <c r="P61" s="87"/>
      <c r="Q61" s="87"/>
      <c r="R61" s="87"/>
      <c r="S61" s="87"/>
      <c r="T61" s="87"/>
      <c r="U61" s="87"/>
      <c r="V61" s="87"/>
      <c r="W61" s="332"/>
      <c r="X61" s="333"/>
      <c r="Y61" s="332"/>
      <c r="Z61" s="333"/>
    </row>
    <row r="62" spans="1:49" ht="18" customHeight="1" x14ac:dyDescent="0.2">
      <c r="K62" s="245"/>
      <c r="L62" s="245"/>
      <c r="M62" s="245"/>
      <c r="N62" s="245"/>
      <c r="O62" s="44"/>
      <c r="P62" s="87"/>
      <c r="Q62" s="87"/>
      <c r="R62" s="87"/>
      <c r="S62" s="87"/>
      <c r="T62" s="87"/>
      <c r="U62" s="87"/>
      <c r="V62" s="87"/>
      <c r="W62" s="332"/>
      <c r="X62" s="333"/>
      <c r="Y62" s="332"/>
      <c r="Z62" s="333"/>
    </row>
    <row r="63" spans="1:49" ht="23.25" x14ac:dyDescent="0.2">
      <c r="E63" s="335" t="s">
        <v>258</v>
      </c>
      <c r="F63" s="336"/>
      <c r="H63" s="257">
        <f>IF(AND(D4 &gt;=40, D4 &lt;= 400),F65,IF(AND(D4 &gt;=401, D4&lt;= 1000),F66,IF(AND(D4 &gt;=1001),F69,)))</f>
        <v>50000</v>
      </c>
      <c r="K63" s="245"/>
      <c r="L63" s="78"/>
      <c r="M63" s="78"/>
      <c r="N63" s="245"/>
      <c r="O63" s="49"/>
      <c r="P63" s="87"/>
      <c r="Q63" s="87"/>
      <c r="R63" s="87"/>
      <c r="S63" s="87"/>
      <c r="T63" s="87"/>
      <c r="U63" s="87"/>
      <c r="V63" s="87"/>
      <c r="W63" s="118"/>
      <c r="X63" s="119"/>
      <c r="Y63" s="118"/>
      <c r="Z63" s="119"/>
    </row>
    <row r="64" spans="1:49" ht="18" customHeight="1" x14ac:dyDescent="0.2">
      <c r="E64" s="161" t="s">
        <v>265</v>
      </c>
      <c r="F64" s="161" t="s">
        <v>9</v>
      </c>
      <c r="K64" s="245"/>
      <c r="L64" s="245"/>
      <c r="M64" s="245"/>
      <c r="N64" s="245"/>
      <c r="O64" s="44"/>
      <c r="P64" s="87"/>
      <c r="Q64" s="87"/>
      <c r="R64" s="87"/>
      <c r="S64" s="123"/>
      <c r="T64" s="123"/>
      <c r="U64" s="123"/>
      <c r="V64" s="87"/>
      <c r="W64" s="332"/>
      <c r="X64" s="333"/>
      <c r="Y64" s="332"/>
      <c r="Z64" s="333"/>
    </row>
    <row r="65" spans="1:49" ht="23.25" customHeight="1" x14ac:dyDescent="0.2">
      <c r="E65" s="70" t="s">
        <v>266</v>
      </c>
      <c r="F65" s="70">
        <v>50000</v>
      </c>
      <c r="K65" s="383"/>
      <c r="L65" s="383"/>
      <c r="M65" s="60"/>
      <c r="N65" s="60"/>
      <c r="O65" s="44"/>
      <c r="P65" s="87"/>
      <c r="Q65" s="87"/>
      <c r="R65" s="33"/>
      <c r="S65" s="33"/>
      <c r="T65" s="33"/>
      <c r="U65" s="33"/>
      <c r="V65" s="33"/>
      <c r="W65" s="332"/>
      <c r="X65" s="333"/>
      <c r="Y65" s="332"/>
      <c r="Z65" s="333"/>
    </row>
    <row r="66" spans="1:49" ht="18" customHeight="1" x14ac:dyDescent="0.2">
      <c r="E66" s="70" t="s">
        <v>267</v>
      </c>
      <c r="F66" s="70">
        <v>75000</v>
      </c>
      <c r="K66" s="383"/>
      <c r="L66" s="383"/>
      <c r="M66" s="60"/>
      <c r="N66" s="60"/>
      <c r="O66" s="44"/>
      <c r="P66" s="87"/>
      <c r="Q66" s="87"/>
      <c r="R66" s="42"/>
      <c r="S66" s="42"/>
      <c r="T66" s="42"/>
      <c r="U66" s="42"/>
      <c r="V66" s="42"/>
      <c r="W66" s="332"/>
      <c r="X66" s="333"/>
      <c r="Y66" s="332"/>
      <c r="Z66" s="333"/>
    </row>
    <row r="67" spans="1:49" ht="18" customHeight="1" x14ac:dyDescent="0.2">
      <c r="E67" s="70"/>
      <c r="F67" s="70"/>
      <c r="K67" s="383"/>
      <c r="L67" s="383"/>
      <c r="M67" s="60"/>
      <c r="N67" s="60"/>
      <c r="O67" s="44"/>
      <c r="P67" s="87"/>
      <c r="Q67" s="87"/>
      <c r="R67" s="42"/>
      <c r="S67" s="42"/>
      <c r="T67" s="42"/>
      <c r="U67" s="42"/>
      <c r="V67" s="42"/>
      <c r="W67" s="332"/>
      <c r="X67" s="333"/>
      <c r="Y67" s="332"/>
      <c r="Z67" s="333"/>
    </row>
    <row r="68" spans="1:49" ht="18" customHeight="1" x14ac:dyDescent="0.2">
      <c r="E68" s="70"/>
      <c r="F68" s="70"/>
      <c r="K68" s="383"/>
      <c r="L68" s="383"/>
      <c r="M68" s="60"/>
      <c r="N68" s="60"/>
      <c r="O68" s="44"/>
      <c r="P68" s="87"/>
      <c r="Q68" s="87"/>
      <c r="R68" s="42"/>
      <c r="S68" s="42"/>
      <c r="T68" s="42"/>
      <c r="U68" s="42"/>
      <c r="V68" s="42"/>
      <c r="W68" s="332"/>
      <c r="X68" s="333"/>
      <c r="Y68" s="332"/>
      <c r="Z68" s="333"/>
    </row>
    <row r="69" spans="1:49" ht="18" customHeight="1" x14ac:dyDescent="0.2">
      <c r="E69" s="70" t="s">
        <v>268</v>
      </c>
      <c r="F69" s="70">
        <v>100000</v>
      </c>
      <c r="K69" s="25"/>
      <c r="L69" s="25"/>
      <c r="M69" s="25"/>
      <c r="N69" s="25"/>
      <c r="O69" s="44"/>
      <c r="P69" s="87"/>
      <c r="Q69" s="87"/>
      <c r="R69" s="42"/>
      <c r="S69" s="42"/>
      <c r="T69" s="42"/>
      <c r="U69" s="42"/>
      <c r="V69" s="42"/>
      <c r="W69" s="332"/>
      <c r="X69" s="333"/>
      <c r="Y69" s="332"/>
      <c r="Z69" s="333"/>
    </row>
    <row r="70" spans="1:49" ht="27" customHeight="1" x14ac:dyDescent="0.2">
      <c r="K70" s="384"/>
      <c r="L70" s="384"/>
      <c r="M70" s="385"/>
      <c r="N70" s="53"/>
      <c r="O70" s="44"/>
      <c r="P70" s="87"/>
      <c r="Q70" s="87"/>
      <c r="R70" s="42"/>
      <c r="S70" s="42"/>
      <c r="T70" s="42"/>
      <c r="U70" s="42"/>
      <c r="V70" s="42"/>
      <c r="W70" s="332"/>
      <c r="X70" s="333"/>
      <c r="Y70" s="332"/>
      <c r="Z70" s="333"/>
    </row>
    <row r="71" spans="1:49" ht="18" x14ac:dyDescent="0.2">
      <c r="K71" s="384"/>
      <c r="L71" s="384"/>
      <c r="M71" s="383"/>
      <c r="N71" s="53"/>
      <c r="O71" s="2"/>
      <c r="P71" s="121"/>
      <c r="Q71" s="121"/>
      <c r="R71" s="121"/>
      <c r="S71" s="121"/>
      <c r="U71" s="121"/>
      <c r="V71" s="121"/>
      <c r="W71" s="121"/>
      <c r="X71" s="13"/>
      <c r="Y71" s="121"/>
      <c r="Z71" s="121"/>
    </row>
    <row r="72" spans="1:49" ht="18" x14ac:dyDescent="0.2">
      <c r="K72" s="383"/>
      <c r="L72" s="383"/>
      <c r="M72" s="53"/>
      <c r="N72" s="53"/>
      <c r="O72" s="2"/>
      <c r="P72" s="121"/>
      <c r="Q72" s="121"/>
      <c r="R72" s="121"/>
      <c r="S72" s="121"/>
      <c r="U72" s="121"/>
      <c r="V72" s="121"/>
      <c r="W72" s="121"/>
      <c r="X72" s="13"/>
      <c r="Y72" s="121"/>
      <c r="Z72" s="121"/>
    </row>
    <row r="73" spans="1:49" ht="20.25" x14ac:dyDescent="0.2">
      <c r="K73" s="384"/>
      <c r="L73" s="384"/>
      <c r="M73" s="385"/>
      <c r="N73" s="53"/>
      <c r="O73" s="1"/>
      <c r="P73" s="120"/>
      <c r="Q73" s="121"/>
      <c r="R73" s="121"/>
      <c r="S73" s="50"/>
      <c r="T73" s="50"/>
      <c r="U73" s="50"/>
      <c r="V73" s="50"/>
      <c r="W73" s="50"/>
      <c r="X73" s="50"/>
      <c r="Y73" s="121"/>
      <c r="Z73" s="121"/>
    </row>
    <row r="74" spans="1:49" ht="20.25" x14ac:dyDescent="0.2">
      <c r="K74" s="384"/>
      <c r="L74" s="384"/>
      <c r="M74" s="383"/>
      <c r="N74" s="53"/>
      <c r="O74" s="1"/>
      <c r="P74" s="120"/>
      <c r="Q74" s="121"/>
      <c r="R74" s="121"/>
      <c r="S74" s="50"/>
      <c r="T74" s="50"/>
      <c r="U74" s="50"/>
      <c r="V74" s="50"/>
      <c r="W74" s="50"/>
      <c r="X74" s="13"/>
      <c r="Y74" s="121"/>
      <c r="Z74" s="121"/>
    </row>
    <row r="75" spans="1:49" s="20" customFormat="1" x14ac:dyDescent="0.2">
      <c r="A75" s="63"/>
      <c r="D75" s="63"/>
      <c r="E75" s="63"/>
      <c r="F75" s="63"/>
      <c r="G75" s="63"/>
      <c r="H75" s="63"/>
      <c r="I75" s="63"/>
      <c r="J75" s="63"/>
      <c r="K75" s="26"/>
      <c r="L75" s="26"/>
      <c r="M75" s="26"/>
      <c r="N75" s="26"/>
      <c r="O75" s="121"/>
      <c r="P75" s="121"/>
      <c r="Q75" s="121"/>
      <c r="R75" s="121"/>
      <c r="S75" s="121"/>
      <c r="T75" s="174"/>
      <c r="U75" s="121"/>
      <c r="V75" s="121"/>
      <c r="W75" s="121"/>
      <c r="X75" s="121"/>
      <c r="Y75" s="121"/>
      <c r="Z75" s="121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</row>
    <row r="76" spans="1:49" s="20" customFormat="1" x14ac:dyDescent="0.2">
      <c r="A76" s="63"/>
      <c r="D76" s="63"/>
      <c r="E76" s="63"/>
      <c r="F76" s="63"/>
      <c r="G76" s="63"/>
      <c r="H76" s="63"/>
      <c r="I76" s="63"/>
      <c r="J76" s="63"/>
      <c r="K76" s="26"/>
      <c r="L76" s="26"/>
      <c r="M76" s="26"/>
      <c r="N76" s="26"/>
      <c r="O76" s="121"/>
      <c r="P76" s="121"/>
      <c r="Q76" s="121"/>
      <c r="R76" s="121"/>
      <c r="S76" s="121"/>
      <c r="T76" s="174"/>
      <c r="U76" s="121"/>
      <c r="V76" s="121"/>
      <c r="W76" s="121"/>
      <c r="X76" s="121"/>
      <c r="Y76" s="121"/>
      <c r="Z76" s="121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</row>
    <row r="77" spans="1:49" ht="18" x14ac:dyDescent="0.2">
      <c r="K77" s="390"/>
      <c r="L77" s="53"/>
      <c r="M77" s="53"/>
      <c r="N77" s="52"/>
      <c r="O77" s="52"/>
      <c r="P77" s="11"/>
      <c r="Q77" s="11"/>
    </row>
    <row r="78" spans="1:49" ht="18" x14ac:dyDescent="0.2">
      <c r="K78" s="390"/>
      <c r="L78" s="391"/>
      <c r="M78" s="53"/>
      <c r="N78" s="52"/>
      <c r="O78" s="52"/>
      <c r="P78" s="11"/>
      <c r="Q78" s="11"/>
    </row>
    <row r="79" spans="1:49" ht="18" x14ac:dyDescent="0.2">
      <c r="K79" s="390"/>
      <c r="L79" s="391"/>
      <c r="M79" s="53"/>
      <c r="N79" s="52"/>
      <c r="O79" s="52"/>
      <c r="P79" s="11"/>
      <c r="Q79" s="11"/>
    </row>
    <row r="80" spans="1:49" ht="18" x14ac:dyDescent="0.2">
      <c r="K80" s="390"/>
      <c r="L80" s="53"/>
      <c r="M80" s="53"/>
      <c r="N80" s="53"/>
      <c r="O80" s="52"/>
      <c r="P80" s="11"/>
      <c r="Q80" s="11"/>
    </row>
    <row r="81" spans="11:17" ht="18" x14ac:dyDescent="0.2">
      <c r="K81" s="53"/>
      <c r="L81" s="53"/>
      <c r="M81" s="53"/>
      <c r="N81" s="53"/>
      <c r="O81" s="53"/>
      <c r="P81" s="11"/>
      <c r="Q81" s="11"/>
    </row>
    <row r="82" spans="11:17" ht="18" customHeight="1" x14ac:dyDescent="0.2">
      <c r="K82" s="384"/>
      <c r="L82" s="384"/>
      <c r="M82" s="386"/>
      <c r="N82" s="387"/>
      <c r="O82" s="388"/>
      <c r="P82" s="11"/>
      <c r="Q82" s="11"/>
    </row>
    <row r="83" spans="11:17" ht="18" customHeight="1" x14ac:dyDescent="0.2">
      <c r="K83" s="384"/>
      <c r="L83" s="384"/>
      <c r="M83" s="386"/>
      <c r="N83" s="383"/>
      <c r="O83" s="388"/>
      <c r="P83" s="11"/>
      <c r="Q83" s="11"/>
    </row>
    <row r="84" spans="11:17" ht="18" x14ac:dyDescent="0.2">
      <c r="K84" s="383"/>
      <c r="L84" s="383"/>
      <c r="M84" s="21"/>
      <c r="N84" s="22"/>
      <c r="O84" s="52"/>
      <c r="P84" s="11"/>
      <c r="Q84" s="11"/>
    </row>
    <row r="85" spans="11:17" ht="18" x14ac:dyDescent="0.2">
      <c r="K85" s="384"/>
      <c r="L85" s="389"/>
      <c r="M85" s="56"/>
      <c r="N85" s="56"/>
      <c r="O85" s="56"/>
      <c r="P85" s="11"/>
      <c r="Q85" s="11"/>
    </row>
    <row r="86" spans="11:17" ht="18" x14ac:dyDescent="0.2">
      <c r="K86" s="383"/>
      <c r="L86" s="383"/>
      <c r="M86" s="60"/>
      <c r="N86" s="60"/>
      <c r="O86" s="53"/>
      <c r="P86" s="11"/>
      <c r="Q86" s="11"/>
    </row>
    <row r="87" spans="11:17" ht="18" x14ac:dyDescent="0.2">
      <c r="K87" s="383"/>
      <c r="L87" s="383"/>
      <c r="M87" s="60"/>
      <c r="N87" s="60"/>
      <c r="O87" s="53"/>
      <c r="P87" s="11"/>
      <c r="Q87" s="11"/>
    </row>
    <row r="88" spans="11:17" ht="18" x14ac:dyDescent="0.2">
      <c r="K88" s="383"/>
      <c r="L88" s="383"/>
      <c r="M88" s="60"/>
      <c r="N88" s="60"/>
      <c r="O88" s="53"/>
      <c r="P88" s="11"/>
      <c r="Q88" s="11"/>
    </row>
    <row r="89" spans="11:17" ht="18" x14ac:dyDescent="0.2">
      <c r="K89" s="383"/>
      <c r="L89" s="383"/>
      <c r="M89" s="60"/>
      <c r="N89" s="60"/>
      <c r="O89" s="53"/>
      <c r="P89" s="11"/>
      <c r="Q89" s="11"/>
    </row>
    <row r="90" spans="11:17" ht="18" x14ac:dyDescent="0.2">
      <c r="K90" s="383"/>
      <c r="L90" s="383"/>
      <c r="M90" s="60"/>
      <c r="N90" s="60"/>
      <c r="O90" s="53"/>
      <c r="P90" s="11"/>
      <c r="Q90" s="11"/>
    </row>
    <row r="91" spans="11:17" ht="18" x14ac:dyDescent="0.2">
      <c r="K91" s="383"/>
      <c r="L91" s="383"/>
      <c r="M91" s="60"/>
      <c r="N91" s="60"/>
      <c r="O91" s="53"/>
      <c r="P91" s="11"/>
      <c r="Q91" s="11"/>
    </row>
    <row r="92" spans="11:17" ht="18" x14ac:dyDescent="0.2">
      <c r="K92" s="383"/>
      <c r="L92" s="383"/>
      <c r="M92" s="60"/>
      <c r="N92" s="60"/>
      <c r="O92" s="53"/>
      <c r="P92" s="11"/>
      <c r="Q92" s="11"/>
    </row>
    <row r="93" spans="11:17" ht="18" x14ac:dyDescent="0.2">
      <c r="K93" s="25"/>
      <c r="L93" s="25"/>
      <c r="M93" s="25"/>
      <c r="N93" s="25"/>
      <c r="O93" s="25"/>
      <c r="P93" s="11"/>
      <c r="Q93" s="11"/>
    </row>
    <row r="94" spans="11:17" ht="18" x14ac:dyDescent="0.2">
      <c r="K94" s="384"/>
      <c r="L94" s="384"/>
      <c r="M94" s="385"/>
      <c r="N94" s="53"/>
      <c r="O94" s="53"/>
      <c r="P94" s="11"/>
      <c r="Q94" s="11"/>
    </row>
    <row r="95" spans="11:17" ht="18" x14ac:dyDescent="0.2">
      <c r="K95" s="384"/>
      <c r="L95" s="384"/>
      <c r="M95" s="383"/>
      <c r="N95" s="53"/>
      <c r="O95" s="53"/>
      <c r="P95" s="11"/>
      <c r="Q95" s="11"/>
    </row>
    <row r="96" spans="11:17" ht="18" x14ac:dyDescent="0.2">
      <c r="K96" s="383"/>
      <c r="L96" s="383"/>
      <c r="M96" s="53"/>
      <c r="N96" s="53"/>
      <c r="O96" s="53"/>
      <c r="P96" s="11"/>
      <c r="Q96" s="11"/>
    </row>
    <row r="97" spans="1:49" ht="18" x14ac:dyDescent="0.2">
      <c r="K97" s="384"/>
      <c r="L97" s="384"/>
      <c r="M97" s="385"/>
      <c r="N97" s="53"/>
      <c r="O97" s="53"/>
      <c r="P97" s="11"/>
      <c r="Q97" s="11"/>
    </row>
    <row r="98" spans="1:49" ht="18" x14ac:dyDescent="0.2">
      <c r="K98" s="384"/>
      <c r="L98" s="384"/>
      <c r="M98" s="383"/>
      <c r="N98" s="53"/>
      <c r="O98" s="53"/>
      <c r="P98" s="11"/>
      <c r="Q98" s="11"/>
    </row>
    <row r="99" spans="1:49" s="12" customFormat="1" x14ac:dyDescent="0.2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1"/>
      <c r="L99" s="11"/>
      <c r="M99" s="11"/>
      <c r="N99" s="11"/>
      <c r="O99" s="11"/>
      <c r="P99" s="11"/>
      <c r="Q99" s="11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</row>
    <row r="100" spans="1:49" s="12" customFormat="1" x14ac:dyDescent="0.2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1"/>
      <c r="L100" s="11"/>
      <c r="M100" s="11"/>
      <c r="N100" s="11"/>
      <c r="O100" s="11"/>
      <c r="P100" s="11"/>
      <c r="Q100" s="11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</row>
    <row r="101" spans="1:49" x14ac:dyDescent="0.2">
      <c r="K101" s="11"/>
      <c r="L101" s="11"/>
      <c r="M101" s="11"/>
      <c r="N101" s="11"/>
      <c r="O101" s="11"/>
      <c r="P101" s="11"/>
      <c r="Q101" s="11"/>
    </row>
    <row r="102" spans="1:49" x14ac:dyDescent="0.2">
      <c r="K102" s="11"/>
      <c r="L102" s="11"/>
      <c r="M102" s="11"/>
      <c r="N102" s="11"/>
      <c r="O102" s="11"/>
      <c r="P102" s="11"/>
      <c r="Q102" s="11"/>
    </row>
  </sheetData>
  <sheetProtection password="CC19" sheet="1" objects="1" scenarios="1"/>
  <mergeCells count="165">
    <mergeCell ref="W40:X40"/>
    <mergeCell ref="Y40:Z40"/>
    <mergeCell ref="W25:X25"/>
    <mergeCell ref="Y25:Z25"/>
    <mergeCell ref="W26:X26"/>
    <mergeCell ref="Y26:Z26"/>
    <mergeCell ref="W33:X33"/>
    <mergeCell ref="Y33:Z33"/>
    <mergeCell ref="Y58:Z58"/>
    <mergeCell ref="W28:X28"/>
    <mergeCell ref="Y28:Z28"/>
    <mergeCell ref="W36:X36"/>
    <mergeCell ref="Y36:Z36"/>
    <mergeCell ref="W32:X32"/>
    <mergeCell ref="Y32:Z32"/>
    <mergeCell ref="W34:X34"/>
    <mergeCell ref="Y34:Z34"/>
    <mergeCell ref="W27:X27"/>
    <mergeCell ref="Y27:Z27"/>
    <mergeCell ref="T39:W39"/>
    <mergeCell ref="X39:Z39"/>
    <mergeCell ref="W35:X35"/>
    <mergeCell ref="Y35:Z35"/>
    <mergeCell ref="T38:W38"/>
    <mergeCell ref="W59:X59"/>
    <mergeCell ref="Y59:Z59"/>
    <mergeCell ref="W60:X60"/>
    <mergeCell ref="Y60:Z60"/>
    <mergeCell ref="L41:M41"/>
    <mergeCell ref="L54:M54"/>
    <mergeCell ref="W69:X69"/>
    <mergeCell ref="Y69:Z69"/>
    <mergeCell ref="K66:L66"/>
    <mergeCell ref="K67:L67"/>
    <mergeCell ref="K65:L65"/>
    <mergeCell ref="W57:X57"/>
    <mergeCell ref="Y57:Z57"/>
    <mergeCell ref="W58:X58"/>
    <mergeCell ref="W70:X70"/>
    <mergeCell ref="Y70:Z70"/>
    <mergeCell ref="W61:X61"/>
    <mergeCell ref="Y61:Z61"/>
    <mergeCell ref="W62:X62"/>
    <mergeCell ref="Y62:Z62"/>
    <mergeCell ref="W64:X64"/>
    <mergeCell ref="Y64:Z64"/>
    <mergeCell ref="W65:X65"/>
    <mergeCell ref="Y65:Z65"/>
    <mergeCell ref="W66:X66"/>
    <mergeCell ref="Y66:Z66"/>
    <mergeCell ref="W67:X67"/>
    <mergeCell ref="Y67:Z67"/>
    <mergeCell ref="W68:X68"/>
    <mergeCell ref="Y68:Z68"/>
    <mergeCell ref="N82:N83"/>
    <mergeCell ref="O82:O83"/>
    <mergeCell ref="K84:L84"/>
    <mergeCell ref="K85:L85"/>
    <mergeCell ref="K72:L72"/>
    <mergeCell ref="K73:L74"/>
    <mergeCell ref="M73:M74"/>
    <mergeCell ref="K77:K78"/>
    <mergeCell ref="L78:L79"/>
    <mergeCell ref="K79:K80"/>
    <mergeCell ref="K96:L96"/>
    <mergeCell ref="K68:L68"/>
    <mergeCell ref="K97:L98"/>
    <mergeCell ref="M97:M98"/>
    <mergeCell ref="K86:L86"/>
    <mergeCell ref="K87:L87"/>
    <mergeCell ref="K88:L88"/>
    <mergeCell ref="K89:L89"/>
    <mergeCell ref="K90:L90"/>
    <mergeCell ref="K91:L91"/>
    <mergeCell ref="K70:L71"/>
    <mergeCell ref="M70:M71"/>
    <mergeCell ref="K92:L92"/>
    <mergeCell ref="K82:L83"/>
    <mergeCell ref="M82:M83"/>
    <mergeCell ref="K94:L95"/>
    <mergeCell ref="M94:M95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J9:J12"/>
    <mergeCell ref="P9:Q9"/>
    <mergeCell ref="O10:Z10"/>
    <mergeCell ref="E1:G1"/>
    <mergeCell ref="E2:G2"/>
    <mergeCell ref="I1:J1"/>
    <mergeCell ref="I2:J2"/>
    <mergeCell ref="U3:Z4"/>
    <mergeCell ref="B4:B6"/>
    <mergeCell ref="C7:C8"/>
    <mergeCell ref="I7:I8"/>
    <mergeCell ref="D7:D8"/>
    <mergeCell ref="G7:G8"/>
    <mergeCell ref="L1:M1"/>
    <mergeCell ref="J7:J8"/>
    <mergeCell ref="G3:H3"/>
    <mergeCell ref="H7:H8"/>
    <mergeCell ref="E7:F8"/>
    <mergeCell ref="U9:W9"/>
    <mergeCell ref="O12:Z13"/>
    <mergeCell ref="V7:V8"/>
    <mergeCell ref="I9:I12"/>
    <mergeCell ref="W7:Z8"/>
    <mergeCell ref="U1:Z2"/>
    <mergeCell ref="W16:X16"/>
    <mergeCell ref="P21:P22"/>
    <mergeCell ref="Q21:Q22"/>
    <mergeCell ref="W18:X18"/>
    <mergeCell ref="R21:R22"/>
    <mergeCell ref="E63:F63"/>
    <mergeCell ref="C4:C6"/>
    <mergeCell ref="D4:D6"/>
    <mergeCell ref="W24:X24"/>
    <mergeCell ref="Y24:Z24"/>
    <mergeCell ref="L25:M25"/>
    <mergeCell ref="Y29:Z30"/>
    <mergeCell ref="O38:O39"/>
    <mergeCell ref="P38:P39"/>
    <mergeCell ref="Q38:Q39"/>
    <mergeCell ref="R38:R39"/>
    <mergeCell ref="O29:O30"/>
    <mergeCell ref="P29:P30"/>
    <mergeCell ref="Q29:Q30"/>
    <mergeCell ref="R29:R30"/>
    <mergeCell ref="S29:S30"/>
    <mergeCell ref="T29:T30"/>
    <mergeCell ref="C2:C3"/>
    <mergeCell ref="U36:V36"/>
    <mergeCell ref="U37:V37"/>
    <mergeCell ref="X9:Z9"/>
    <mergeCell ref="S21:S22"/>
    <mergeCell ref="S38:S39"/>
    <mergeCell ref="W29:X30"/>
    <mergeCell ref="X38:Y38"/>
    <mergeCell ref="W31:X31"/>
    <mergeCell ref="Y31:Z31"/>
    <mergeCell ref="L33:M33"/>
    <mergeCell ref="W23:X23"/>
    <mergeCell ref="Y23:Z23"/>
    <mergeCell ref="W14:X14"/>
    <mergeCell ref="T16:U16"/>
    <mergeCell ref="T18:U18"/>
    <mergeCell ref="P14:R14"/>
    <mergeCell ref="P16:Q16"/>
    <mergeCell ref="P18:R18"/>
    <mergeCell ref="T14:U14"/>
    <mergeCell ref="T21:T22"/>
    <mergeCell ref="U21:U22"/>
    <mergeCell ref="V21:V22"/>
    <mergeCell ref="V29:V30"/>
    <mergeCell ref="W20:X22"/>
    <mergeCell ref="Y20:Z22"/>
    <mergeCell ref="U29:U30"/>
    <mergeCell ref="L16:M16"/>
  </mergeCells>
  <dataValidations count="11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11">
      <formula1>INDIRECT($B$9)</formula1>
    </dataValidation>
    <dataValidation type="list" allowBlank="1" showInputMessage="1" showErrorMessage="1" sqref="C11">
      <formula1>INDIRECT($C$9)</formula1>
    </dataValidation>
    <dataValidation type="list" allowBlank="1" showInputMessage="1" showErrorMessage="1" sqref="D11">
      <formula1>INDIRECT($D$9)</formula1>
    </dataValidation>
    <dataValidation type="list" allowBlank="1" showInputMessage="1" showErrorMessage="1" sqref="E11">
      <formula1>INDIRECT($E$9)</formula1>
    </dataValidation>
    <dataValidation type="list" allowBlank="1" showInputMessage="1" showErrorMessage="1" sqref="G10:G11">
      <formula1>INDIRECT($G$9)</formula1>
    </dataValidation>
    <dataValidation type="list" allowBlank="1" showInputMessage="1" showErrorMessage="1" sqref="H10:H11">
      <formula1>INDIRECT($H$9)</formula1>
    </dataValidation>
    <dataValidation type="list" allowBlank="1" showInputMessage="1" showErrorMessage="1" sqref="F11">
      <formula1>INDIRECT($F$9)</formula1>
    </dataValidation>
    <dataValidation type="list" allowBlank="1" showInputMessage="1" showErrorMessage="1" sqref="B12:H12">
      <formula1>$L$17:$L$23</formula1>
    </dataValidation>
    <dataValidation type="list" allowBlank="1" showInputMessage="1" showErrorMessage="1" sqref="C2:C3">
      <formula1>$L$34:$L$38</formula1>
    </dataValidation>
    <dataValidation type="list" allowBlank="1" showInputMessage="1" showErrorMessage="1" sqref="B22:E22">
      <formula1>$L$55:$L$57</formula1>
    </dataValidation>
  </dataValidations>
  <pageMargins left="0.23622047244094491" right="0.23622047244094491" top="0.35433070866141736" bottom="0.35433070866141736" header="0.31496062992125984" footer="0.31496062992125984"/>
  <pageSetup paperSize="9" scale="17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'اسماء مهندسي المكاتب '!$AD$2:$AH$2</xm:f>
          </x14:formula1>
          <xm:sqref>G9:H9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'!$P$3:$P$8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'!$W$3:$W$11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'!$AL$3:$AL$19</xm:f>
          </x14:formula1>
          <xm:sqref>F10</xm:sqref>
        </x14:dataValidation>
        <x14:dataValidation type="list" allowBlank="1" showInputMessage="1" showErrorMessage="1">
          <x14:formula1>
            <xm:f>'اسماء مهندسي المكاتب '!$J$3:$J$17</xm:f>
          </x14:formula1>
          <xm:sqref>C10</xm:sqref>
        </x14:dataValidation>
        <x14:dataValidation type="list" allowBlank="1" showInputMessage="1" showErrorMessage="1">
          <x14:formula1>
            <xm:f>'اسماء مهندسي المكاتب '!$X$3:$X$13</xm:f>
          </x14:formula1>
          <xm:sqref>D10</xm:sqref>
        </x14:dataValidation>
        <x14:dataValidation type="list" allowBlank="1" showInputMessage="1" showErrorMessage="1">
          <x14:formula1>
            <xm:f>'اسماء مهندسي المكاتب '!$Q$3:$Q$12</xm:f>
          </x14:formula1>
          <xm:sqref>E10</xm:sqref>
        </x14:dataValidation>
        <x14:dataValidation type="list" allowBlank="1" showInputMessage="1" showErrorMessage="1">
          <x14:formula1>
            <xm:f>'اسماء مهندسي المكاتب '!$B$4:$B$10</xm:f>
          </x14:formula1>
          <xm:sqref>B21</xm:sqref>
        </x14:dataValidation>
        <x14:dataValidation type="list" allowBlank="1" showInputMessage="1" showErrorMessage="1">
          <x14:formula1>
            <xm:f>'اسماء مهندسي المكاتب '!$I$3:$I$13</xm:f>
          </x14:formula1>
          <xm:sqref>C21</xm:sqref>
        </x14:dataValidation>
        <x14:dataValidation type="list" allowBlank="1" showInputMessage="1" showErrorMessage="1">
          <x14:formula1>
            <xm:f>'اسماء مهندسي المكاتب '!$C$3:$C$23</xm:f>
          </x14:formula1>
          <xm:sqref>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20" zoomScale="90" zoomScaleNormal="90" workbookViewId="0">
      <selection activeCell="D37" sqref="D37:D38"/>
    </sheetView>
  </sheetViews>
  <sheetFormatPr defaultColWidth="8.75" defaultRowHeight="14.25" x14ac:dyDescent="0.2"/>
  <cols>
    <col min="1" max="1" width="12.875" style="278" customWidth="1"/>
    <col min="2" max="2" width="9.5" style="278" customWidth="1"/>
    <col min="3" max="3" width="9.875" style="278" customWidth="1"/>
    <col min="4" max="4" width="9.25" style="278" customWidth="1"/>
    <col min="5" max="6" width="9.75" style="278" customWidth="1"/>
    <col min="7" max="7" width="8.5" style="278" customWidth="1"/>
    <col min="8" max="8" width="9.375" style="278" customWidth="1"/>
    <col min="9" max="12" width="4.5" style="278" customWidth="1"/>
    <col min="13" max="22" width="8.75" style="278"/>
    <col min="23" max="35" width="8.75" style="13"/>
    <col min="36" max="16384" width="8.75" style="278"/>
  </cols>
  <sheetData>
    <row r="1" spans="1:19" ht="18" customHeight="1" x14ac:dyDescent="0.2">
      <c r="A1" s="363" t="s">
        <v>302</v>
      </c>
      <c r="B1" s="363"/>
      <c r="C1" s="363"/>
      <c r="G1" s="334" t="s">
        <v>202</v>
      </c>
      <c r="H1" s="334"/>
      <c r="I1" s="334"/>
      <c r="J1" s="334"/>
      <c r="K1" s="334"/>
      <c r="L1" s="334"/>
    </row>
    <row r="2" spans="1:19" ht="15.75" customHeight="1" x14ac:dyDescent="0.2">
      <c r="A2" s="363"/>
      <c r="B2" s="363"/>
      <c r="C2" s="363"/>
      <c r="G2" s="334"/>
      <c r="H2" s="334"/>
      <c r="I2" s="334"/>
      <c r="J2" s="334"/>
      <c r="K2" s="334"/>
      <c r="L2" s="334"/>
    </row>
    <row r="3" spans="1:19" ht="15" customHeight="1" x14ac:dyDescent="0.2">
      <c r="A3" s="361" t="s">
        <v>301</v>
      </c>
      <c r="B3" s="361"/>
      <c r="C3" s="361"/>
      <c r="G3" s="375" t="s">
        <v>303</v>
      </c>
      <c r="H3" s="329"/>
      <c r="I3" s="329"/>
      <c r="J3" s="329"/>
      <c r="K3" s="329"/>
      <c r="L3" s="329"/>
    </row>
    <row r="4" spans="1:19" ht="9.75" customHeight="1" x14ac:dyDescent="0.2">
      <c r="A4" s="361"/>
      <c r="B4" s="361"/>
      <c r="C4" s="361"/>
      <c r="G4" s="329"/>
      <c r="H4" s="329"/>
      <c r="I4" s="329"/>
      <c r="J4" s="329"/>
      <c r="K4" s="329"/>
      <c r="L4" s="329"/>
    </row>
    <row r="5" spans="1:19" ht="9.75" customHeight="1" x14ac:dyDescent="0.2">
      <c r="A5" s="283"/>
      <c r="B5" s="283"/>
      <c r="C5" s="283"/>
      <c r="G5" s="277"/>
      <c r="H5" s="277"/>
      <c r="I5" s="277"/>
      <c r="J5" s="277"/>
      <c r="K5" s="277"/>
      <c r="L5" s="277"/>
    </row>
    <row r="6" spans="1:19" ht="9.75" customHeight="1" x14ac:dyDescent="0.2">
      <c r="A6" s="283"/>
      <c r="B6" s="283"/>
      <c r="C6" s="283"/>
      <c r="G6" s="277"/>
      <c r="H6" s="277"/>
      <c r="I6" s="277"/>
      <c r="J6" s="277"/>
      <c r="K6" s="277"/>
      <c r="L6" s="277"/>
    </row>
    <row r="7" spans="1:19" ht="12.75" customHeight="1" x14ac:dyDescent="0.2">
      <c r="A7" s="362" t="s">
        <v>300</v>
      </c>
      <c r="B7" s="362" t="str">
        <f>'اتعاب 2021'!C2</f>
        <v>الحسكه</v>
      </c>
      <c r="C7" s="182"/>
      <c r="D7" s="182"/>
      <c r="H7" s="334" t="str">
        <f>IF(AND(B7="قامشلو"),(S10),IF(AND(B7="ديريك"),(S12),IF(AND(B7="الحسكه"),(S11),IF(AND(B7="عاموده"),(S14)))))</f>
        <v>Hesekê</v>
      </c>
      <c r="I7" s="334" t="s">
        <v>203</v>
      </c>
      <c r="J7" s="334"/>
      <c r="K7" s="334"/>
      <c r="L7" s="334"/>
    </row>
    <row r="8" spans="1:19" ht="12.75" customHeight="1" x14ac:dyDescent="0.2">
      <c r="A8" s="362"/>
      <c r="B8" s="362"/>
      <c r="H8" s="334"/>
      <c r="I8" s="334"/>
      <c r="J8" s="334"/>
      <c r="K8" s="334"/>
      <c r="L8" s="334"/>
    </row>
    <row r="9" spans="1:19" ht="17.25" customHeight="1" x14ac:dyDescent="0.2">
      <c r="A9" s="299" t="s">
        <v>168</v>
      </c>
      <c r="B9" s="369">
        <f ca="1">TODAY()</f>
        <v>46205</v>
      </c>
      <c r="C9" s="369"/>
      <c r="G9" s="353">
        <f ca="1">TODAY()</f>
        <v>46205</v>
      </c>
      <c r="H9" s="353"/>
      <c r="I9" s="353"/>
      <c r="J9" s="328" t="s">
        <v>304</v>
      </c>
      <c r="K9" s="329"/>
      <c r="L9" s="329"/>
      <c r="R9" s="313" t="s">
        <v>204</v>
      </c>
      <c r="S9" s="313"/>
    </row>
    <row r="10" spans="1:19" ht="17.25" customHeight="1" x14ac:dyDescent="0.2">
      <c r="A10" s="370" t="s">
        <v>217</v>
      </c>
      <c r="B10" s="371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R10" s="170" t="s">
        <v>206</v>
      </c>
      <c r="S10" s="78" t="s">
        <v>205</v>
      </c>
    </row>
    <row r="11" spans="1:19" ht="17.25" customHeight="1" x14ac:dyDescent="0.2">
      <c r="A11" s="27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R11" s="170" t="s">
        <v>207</v>
      </c>
      <c r="S11" s="78" t="s">
        <v>210</v>
      </c>
    </row>
    <row r="12" spans="1:19" ht="17.25" customHeight="1" x14ac:dyDescent="0.2">
      <c r="A12" s="354" t="s">
        <v>282</v>
      </c>
      <c r="B12" s="354"/>
      <c r="C12" s="354"/>
      <c r="D12" s="354"/>
      <c r="E12" s="354"/>
      <c r="F12" s="354"/>
      <c r="G12" s="354"/>
      <c r="H12" s="354"/>
      <c r="I12" s="354"/>
      <c r="J12" s="354"/>
      <c r="K12" s="354"/>
      <c r="L12" s="354"/>
      <c r="R12" s="170" t="s">
        <v>208</v>
      </c>
      <c r="S12" s="78" t="s">
        <v>211</v>
      </c>
    </row>
    <row r="13" spans="1:19" ht="17.25" customHeight="1" x14ac:dyDescent="0.2">
      <c r="A13" s="354"/>
      <c r="B13" s="354"/>
      <c r="C13" s="354"/>
      <c r="D13" s="354"/>
      <c r="E13" s="354"/>
      <c r="F13" s="354"/>
      <c r="G13" s="354"/>
      <c r="H13" s="354"/>
      <c r="I13" s="354"/>
      <c r="J13" s="354"/>
      <c r="K13" s="354"/>
      <c r="L13" s="354"/>
      <c r="R13" s="170" t="s">
        <v>191</v>
      </c>
      <c r="S13" s="78" t="s">
        <v>213</v>
      </c>
    </row>
    <row r="14" spans="1:19" ht="18" x14ac:dyDescent="0.2">
      <c r="A14" s="289" t="s">
        <v>48</v>
      </c>
      <c r="B14" s="317" t="str">
        <f>'اتعاب 2021'!E1</f>
        <v>رضوان محمد علي</v>
      </c>
      <c r="C14" s="317"/>
      <c r="D14" s="317"/>
      <c r="E14" s="299" t="s">
        <v>299</v>
      </c>
      <c r="F14" s="319" t="str">
        <f>'اتعاب 2021'!A2</f>
        <v>منشأت خاصة</v>
      </c>
      <c r="G14" s="319"/>
      <c r="H14" s="299" t="s">
        <v>26</v>
      </c>
      <c r="I14" s="318">
        <f>'اتعاب 2021'!B7</f>
        <v>449.75</v>
      </c>
      <c r="J14" s="318"/>
      <c r="K14" s="302" t="s">
        <v>297</v>
      </c>
      <c r="R14" s="170" t="s">
        <v>209</v>
      </c>
      <c r="S14" s="78" t="s">
        <v>212</v>
      </c>
    </row>
    <row r="15" spans="1:19" ht="18" x14ac:dyDescent="0.25">
      <c r="A15" s="282"/>
      <c r="B15" s="122"/>
      <c r="C15" s="122"/>
      <c r="D15" s="300"/>
      <c r="E15" s="282"/>
      <c r="F15" s="282"/>
      <c r="G15" s="282"/>
      <c r="H15" s="282"/>
      <c r="I15" s="37"/>
      <c r="J15" s="275"/>
      <c r="R15" s="170"/>
      <c r="S15" s="78"/>
    </row>
    <row r="16" spans="1:19" ht="14.25" customHeight="1" x14ac:dyDescent="0.25">
      <c r="A16" s="291" t="s">
        <v>75</v>
      </c>
      <c r="B16" s="318">
        <f>'اتعاب 2021'!P16</f>
        <v>1633989.6790000002</v>
      </c>
      <c r="C16" s="318"/>
      <c r="D16" s="84" t="s">
        <v>298</v>
      </c>
      <c r="E16" s="301" t="s">
        <v>28</v>
      </c>
      <c r="F16" s="318">
        <f>'اتعاب 2021'!E3</f>
        <v>877</v>
      </c>
      <c r="G16" s="318"/>
      <c r="H16" s="299" t="s">
        <v>169</v>
      </c>
      <c r="I16" s="318">
        <f>'اتعاب 2021'!D7</f>
        <v>0</v>
      </c>
      <c r="J16" s="318"/>
      <c r="K16" s="302" t="s">
        <v>297</v>
      </c>
    </row>
    <row r="17" spans="1:19" ht="15.75" customHeight="1" x14ac:dyDescent="0.2">
      <c r="A17" s="282"/>
      <c r="B17" s="282"/>
      <c r="C17" s="282"/>
      <c r="D17" s="300"/>
      <c r="E17" s="39"/>
      <c r="F17" s="39"/>
      <c r="I17" s="282"/>
      <c r="J17" s="275"/>
    </row>
    <row r="18" spans="1:19" ht="18" customHeight="1" x14ac:dyDescent="0.2">
      <c r="A18" s="39" t="s">
        <v>24</v>
      </c>
      <c r="B18" s="317" t="str">
        <f>'اتعاب 2021'!E2</f>
        <v>درباسية غربية8</v>
      </c>
      <c r="C18" s="317"/>
      <c r="D18" s="317"/>
      <c r="E18" s="299" t="s">
        <v>43</v>
      </c>
      <c r="F18" s="318">
        <f>'اتعاب 2021'!I1</f>
        <v>101</v>
      </c>
      <c r="G18" s="318"/>
      <c r="H18" s="299" t="s">
        <v>42</v>
      </c>
      <c r="I18" s="317">
        <f>'اتعاب 2021'!I2</f>
        <v>0</v>
      </c>
      <c r="J18" s="317"/>
      <c r="K18" s="183"/>
      <c r="R18" s="360" t="s">
        <v>66</v>
      </c>
      <c r="S18" s="360"/>
    </row>
    <row r="19" spans="1:19" ht="18" customHeight="1" x14ac:dyDescent="0.2">
      <c r="A19" s="39"/>
      <c r="B19" s="282"/>
      <c r="C19" s="282"/>
      <c r="D19" s="289"/>
      <c r="E19" s="282"/>
      <c r="F19" s="282"/>
      <c r="G19" s="282"/>
      <c r="H19" s="39"/>
      <c r="I19" s="282"/>
      <c r="J19" s="282"/>
      <c r="K19" s="183"/>
      <c r="R19" s="78" t="s">
        <v>27</v>
      </c>
      <c r="S19" s="78">
        <f>'اتعاب 2021'!M10</f>
        <v>1400</v>
      </c>
    </row>
    <row r="20" spans="1:19" ht="22.9" customHeight="1" x14ac:dyDescent="0.2">
      <c r="A20" s="424" t="s">
        <v>287</v>
      </c>
      <c r="B20" s="425"/>
      <c r="C20" s="297" t="s">
        <v>289</v>
      </c>
      <c r="D20" s="297" t="s">
        <v>288</v>
      </c>
      <c r="E20" s="298" t="s">
        <v>292</v>
      </c>
      <c r="F20" s="417" t="s">
        <v>290</v>
      </c>
      <c r="G20" s="419"/>
      <c r="H20" s="417" t="s">
        <v>296</v>
      </c>
      <c r="I20" s="418"/>
      <c r="J20" s="418"/>
      <c r="K20" s="418"/>
      <c r="L20" s="419"/>
      <c r="R20" s="78"/>
      <c r="S20" s="78"/>
    </row>
    <row r="21" spans="1:19" ht="18" customHeight="1" x14ac:dyDescent="0.25">
      <c r="A21" s="401" t="s">
        <v>295</v>
      </c>
      <c r="B21" s="403"/>
      <c r="C21" s="292">
        <f>'اتعاب 2021'!B7</f>
        <v>449.75</v>
      </c>
      <c r="D21" s="295" t="s">
        <v>291</v>
      </c>
      <c r="E21" s="295">
        <f>IF(AND(F14="سكن وجمعيات"),S19,IF(AND(F14="تجارة وسكن"),S21,IF(AND(F14="منشأت خاصة"),(S22),IF(AND(F14="سكن ريفي"),(S23)))))</f>
        <v>2600</v>
      </c>
      <c r="F21" s="404">
        <f>C21*E21</f>
        <v>1169350</v>
      </c>
      <c r="G21" s="405"/>
      <c r="H21" s="408"/>
      <c r="I21" s="409"/>
      <c r="J21" s="409"/>
      <c r="K21" s="409"/>
      <c r="L21" s="410"/>
      <c r="R21" s="78" t="s">
        <v>67</v>
      </c>
      <c r="S21" s="78">
        <f>'اتعاب 2021'!M12</f>
        <v>1750</v>
      </c>
    </row>
    <row r="22" spans="1:19" ht="18" customHeight="1" x14ac:dyDescent="0.25">
      <c r="A22" s="401" t="s">
        <v>284</v>
      </c>
      <c r="B22" s="403"/>
      <c r="C22" s="292">
        <f>'اتعاب 2021'!D7*0.8</f>
        <v>0</v>
      </c>
      <c r="D22" s="295" t="s">
        <v>291</v>
      </c>
      <c r="E22" s="295">
        <v>0</v>
      </c>
      <c r="F22" s="404">
        <f>E22*C22</f>
        <v>0</v>
      </c>
      <c r="G22" s="405"/>
      <c r="H22" s="408"/>
      <c r="I22" s="409"/>
      <c r="J22" s="409"/>
      <c r="K22" s="409"/>
      <c r="L22" s="410"/>
      <c r="R22" s="78" t="s">
        <v>68</v>
      </c>
      <c r="S22" s="78">
        <f>'اتعاب 2021'!M13</f>
        <v>2600</v>
      </c>
    </row>
    <row r="23" spans="1:19" ht="18" customHeight="1" x14ac:dyDescent="0.25">
      <c r="A23" s="401" t="s">
        <v>280</v>
      </c>
      <c r="B23" s="403"/>
      <c r="C23" s="422" t="s">
        <v>279</v>
      </c>
      <c r="D23" s="423"/>
      <c r="E23" s="295">
        <f>'اتعاب 2021'!G13+'اتعاب 2021'!H13</f>
        <v>0</v>
      </c>
      <c r="F23" s="404">
        <f>E23</f>
        <v>0</v>
      </c>
      <c r="G23" s="405"/>
      <c r="H23" s="408"/>
      <c r="I23" s="409"/>
      <c r="J23" s="409"/>
      <c r="K23" s="409"/>
      <c r="L23" s="410"/>
      <c r="R23" s="78" t="s">
        <v>69</v>
      </c>
      <c r="S23" s="78">
        <f>'اتعاب 2021'!M14</f>
        <v>600</v>
      </c>
    </row>
    <row r="24" spans="1:19" ht="18" customHeight="1" x14ac:dyDescent="0.25">
      <c r="A24" s="406" t="s">
        <v>285</v>
      </c>
      <c r="B24" s="407"/>
      <c r="C24" s="422" t="s">
        <v>279</v>
      </c>
      <c r="D24" s="423"/>
      <c r="E24" s="295">
        <v>0</v>
      </c>
      <c r="F24" s="404">
        <f>E24</f>
        <v>0</v>
      </c>
      <c r="G24" s="405"/>
      <c r="H24" s="408"/>
      <c r="I24" s="409"/>
      <c r="J24" s="409"/>
      <c r="K24" s="409"/>
      <c r="L24" s="410"/>
    </row>
    <row r="25" spans="1:19" ht="18" customHeight="1" x14ac:dyDescent="0.25">
      <c r="A25" s="401" t="s">
        <v>281</v>
      </c>
      <c r="B25" s="403"/>
      <c r="C25" s="292">
        <f>'اتعاب 2021'!G7</f>
        <v>1</v>
      </c>
      <c r="D25" s="295" t="s">
        <v>293</v>
      </c>
      <c r="E25" s="295">
        <v>75000</v>
      </c>
      <c r="F25" s="404">
        <f>E25*C25</f>
        <v>75000</v>
      </c>
      <c r="G25" s="405"/>
      <c r="H25" s="408"/>
      <c r="I25" s="409"/>
      <c r="J25" s="409"/>
      <c r="K25" s="409"/>
      <c r="L25" s="410"/>
    </row>
    <row r="26" spans="1:19" ht="18" customHeight="1" x14ac:dyDescent="0.25">
      <c r="A26" s="406" t="s">
        <v>260</v>
      </c>
      <c r="B26" s="407"/>
      <c r="C26" s="422" t="s">
        <v>279</v>
      </c>
      <c r="D26" s="423"/>
      <c r="E26" s="295">
        <v>0</v>
      </c>
      <c r="F26" s="404">
        <f>E26</f>
        <v>0</v>
      </c>
      <c r="G26" s="405"/>
      <c r="H26" s="408"/>
      <c r="I26" s="409"/>
      <c r="J26" s="409"/>
      <c r="K26" s="409"/>
      <c r="L26" s="410"/>
    </row>
    <row r="27" spans="1:19" ht="18" customHeight="1" x14ac:dyDescent="0.25">
      <c r="A27" s="406" t="s">
        <v>261</v>
      </c>
      <c r="B27" s="407"/>
      <c r="C27" s="292">
        <f>C21</f>
        <v>449.75</v>
      </c>
      <c r="D27" s="295" t="s">
        <v>291</v>
      </c>
      <c r="E27" s="295">
        <v>0</v>
      </c>
      <c r="F27" s="404">
        <f>C27*E27</f>
        <v>0</v>
      </c>
      <c r="G27" s="405"/>
      <c r="H27" s="408"/>
      <c r="I27" s="409"/>
      <c r="J27" s="409"/>
      <c r="K27" s="409"/>
      <c r="L27" s="410"/>
    </row>
    <row r="28" spans="1:19" ht="18" customHeight="1" x14ac:dyDescent="0.25">
      <c r="A28" s="401" t="s">
        <v>262</v>
      </c>
      <c r="B28" s="403"/>
      <c r="C28" s="292">
        <f>'اتعاب 2021'!B59</f>
        <v>0</v>
      </c>
      <c r="D28" s="295" t="s">
        <v>291</v>
      </c>
      <c r="E28" s="295">
        <v>0</v>
      </c>
      <c r="F28" s="404">
        <f>C28*E28</f>
        <v>0</v>
      </c>
      <c r="G28" s="405"/>
      <c r="H28" s="408"/>
      <c r="I28" s="409"/>
      <c r="J28" s="409"/>
      <c r="K28" s="409"/>
      <c r="L28" s="410"/>
    </row>
    <row r="29" spans="1:19" ht="18" customHeight="1" x14ac:dyDescent="0.25">
      <c r="A29" s="406" t="s">
        <v>263</v>
      </c>
      <c r="B29" s="407"/>
      <c r="C29" s="292">
        <f>C21</f>
        <v>449.75</v>
      </c>
      <c r="D29" s="295" t="s">
        <v>291</v>
      </c>
      <c r="E29" s="295">
        <v>0</v>
      </c>
      <c r="F29" s="404">
        <f>C29*E29</f>
        <v>0</v>
      </c>
      <c r="G29" s="405"/>
      <c r="H29" s="408"/>
      <c r="I29" s="409"/>
      <c r="J29" s="409"/>
      <c r="K29" s="409"/>
      <c r="L29" s="410"/>
    </row>
    <row r="30" spans="1:19" ht="18" customHeight="1" x14ac:dyDescent="0.25">
      <c r="A30" s="406" t="s">
        <v>286</v>
      </c>
      <c r="B30" s="407"/>
      <c r="C30" s="292">
        <f>'اتعاب 2021'!D7</f>
        <v>0</v>
      </c>
      <c r="D30" s="295" t="s">
        <v>291</v>
      </c>
      <c r="E30" s="295">
        <v>0</v>
      </c>
      <c r="F30" s="404">
        <f>C30*E30</f>
        <v>0</v>
      </c>
      <c r="G30" s="405"/>
      <c r="H30" s="408"/>
      <c r="I30" s="409"/>
      <c r="J30" s="409"/>
      <c r="K30" s="409"/>
      <c r="L30" s="410"/>
    </row>
    <row r="31" spans="1:19" ht="18" customHeight="1" x14ac:dyDescent="0.25">
      <c r="A31" s="401" t="s">
        <v>258</v>
      </c>
      <c r="B31" s="403"/>
      <c r="C31" s="422" t="s">
        <v>279</v>
      </c>
      <c r="D31" s="423"/>
      <c r="E31" s="296">
        <v>0</v>
      </c>
      <c r="F31" s="420">
        <f>E31</f>
        <v>0</v>
      </c>
      <c r="G31" s="421"/>
      <c r="H31" s="408"/>
      <c r="I31" s="409"/>
      <c r="J31" s="409"/>
      <c r="K31" s="409"/>
      <c r="L31" s="410"/>
    </row>
    <row r="32" spans="1:19" ht="18" customHeight="1" x14ac:dyDescent="0.25">
      <c r="A32" s="401" t="s">
        <v>283</v>
      </c>
      <c r="B32" s="403"/>
      <c r="C32" s="292">
        <f>C21</f>
        <v>449.75</v>
      </c>
      <c r="D32" s="295" t="s">
        <v>291</v>
      </c>
      <c r="E32" s="295">
        <v>0</v>
      </c>
      <c r="F32" s="404">
        <f>C32*E32</f>
        <v>0</v>
      </c>
      <c r="G32" s="405"/>
      <c r="H32" s="408"/>
      <c r="I32" s="409"/>
      <c r="J32" s="409"/>
      <c r="K32" s="409"/>
      <c r="L32" s="410"/>
    </row>
    <row r="33" spans="1:35" ht="18" customHeight="1" x14ac:dyDescent="0.25">
      <c r="A33" s="401" t="s">
        <v>73</v>
      </c>
      <c r="B33" s="403"/>
      <c r="C33" s="422" t="s">
        <v>279</v>
      </c>
      <c r="D33" s="423"/>
      <c r="E33" s="296">
        <f>'اتعاب 2021'!B27</f>
        <v>120000</v>
      </c>
      <c r="F33" s="404">
        <f>E33</f>
        <v>120000</v>
      </c>
      <c r="G33" s="405"/>
      <c r="H33" s="408"/>
      <c r="I33" s="409"/>
      <c r="J33" s="409"/>
      <c r="K33" s="409"/>
      <c r="L33" s="410"/>
    </row>
    <row r="34" spans="1:35" ht="18" customHeight="1" x14ac:dyDescent="0.25">
      <c r="A34" s="401" t="s">
        <v>294</v>
      </c>
      <c r="B34" s="402"/>
      <c r="C34" s="402"/>
      <c r="D34" s="402"/>
      <c r="E34" s="403"/>
      <c r="F34" s="398">
        <f>'اتعاب 2021'!B28-SUM(F21:F33)</f>
        <v>269639.67900000024</v>
      </c>
      <c r="G34" s="399"/>
      <c r="H34" s="400"/>
      <c r="I34" s="400"/>
      <c r="J34" s="400"/>
      <c r="K34" s="400"/>
      <c r="L34" s="400"/>
    </row>
    <row r="35" spans="1:35" ht="18" customHeight="1" x14ac:dyDescent="0.2">
      <c r="A35" s="416" t="s">
        <v>196</v>
      </c>
      <c r="B35" s="416"/>
      <c r="C35" s="416"/>
      <c r="D35" s="416"/>
      <c r="E35" s="416"/>
      <c r="F35" s="414">
        <f>SUM(F21:F34)</f>
        <v>1633989.6790000002</v>
      </c>
      <c r="G35" s="415"/>
      <c r="H35" s="411"/>
      <c r="I35" s="412"/>
      <c r="J35" s="412"/>
      <c r="K35" s="412"/>
      <c r="L35" s="413"/>
    </row>
    <row r="36" spans="1:35" ht="18" customHeight="1" x14ac:dyDescent="0.2"/>
    <row r="37" spans="1:35" ht="23.25" customHeight="1" x14ac:dyDescent="0.2">
      <c r="A37" s="426"/>
      <c r="B37" s="427"/>
      <c r="C37" s="427"/>
      <c r="D37" s="427"/>
      <c r="E37" s="427"/>
      <c r="F37" s="397"/>
      <c r="G37" s="397"/>
      <c r="H37" s="397"/>
      <c r="I37" s="397"/>
      <c r="J37" s="331"/>
      <c r="K37" s="331"/>
      <c r="L37" s="284"/>
    </row>
    <row r="38" spans="1:35" ht="25.5" customHeight="1" x14ac:dyDescent="0.2">
      <c r="A38" s="426"/>
      <c r="B38" s="427"/>
      <c r="C38" s="427"/>
      <c r="D38" s="427"/>
      <c r="E38" s="427"/>
      <c r="F38" s="397" t="s">
        <v>53</v>
      </c>
      <c r="G38" s="397"/>
      <c r="H38" s="397"/>
      <c r="I38" s="397"/>
      <c r="J38" s="331" t="str">
        <f>'اتعاب 2021'!C2</f>
        <v>الحسكه</v>
      </c>
      <c r="K38" s="331"/>
      <c r="L38" s="331"/>
    </row>
    <row r="39" spans="1:35" ht="23.25" customHeight="1" x14ac:dyDescent="0.2">
      <c r="A39" s="293"/>
      <c r="B39" s="294"/>
      <c r="C39" s="294"/>
      <c r="D39" s="294"/>
      <c r="E39" s="294"/>
      <c r="F39" s="227"/>
      <c r="G39" s="227"/>
      <c r="H39" s="227"/>
      <c r="I39" s="392"/>
      <c r="J39" s="393"/>
      <c r="K39" s="392"/>
      <c r="L39" s="393"/>
    </row>
    <row r="42" spans="1:35" s="275" customFormat="1" ht="20.25" customHeight="1" x14ac:dyDescent="0.2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75" customFormat="1" ht="20.25" customHeight="1" x14ac:dyDescent="0.2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75" customFormat="1" ht="20.25" customHeight="1" x14ac:dyDescent="0.2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75" customFormat="1" ht="20.25" customHeight="1" x14ac:dyDescent="0.2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75" customFormat="1" ht="20.25" customHeight="1" x14ac:dyDescent="0.2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75" customFormat="1" ht="20.25" customHeight="1" x14ac:dyDescent="0.2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75" customFormat="1" ht="20.25" customHeight="1" x14ac:dyDescent="0.2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75" customFormat="1" ht="20.25" customHeight="1" x14ac:dyDescent="0.2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75" customFormat="1" ht="20.25" customHeight="1" x14ac:dyDescent="0.2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75" customFormat="1" ht="20.25" customHeight="1" x14ac:dyDescent="0.2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75" customFormat="1" ht="20.25" customHeight="1" x14ac:dyDescent="0.2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75" customFormat="1" ht="20.25" customHeight="1" x14ac:dyDescent="0.2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75" customFormat="1" ht="20.25" customHeight="1" x14ac:dyDescent="0.2">
      <c r="A56" s="276"/>
      <c r="B56" s="87"/>
      <c r="C56" s="87"/>
      <c r="D56" s="87"/>
      <c r="E56" s="87"/>
      <c r="F56" s="87"/>
      <c r="G56" s="87"/>
      <c r="H56" s="87"/>
      <c r="I56" s="314"/>
      <c r="J56" s="315"/>
      <c r="K56" s="314"/>
      <c r="L56" s="315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75" customFormat="1" ht="20.25" customHeight="1" x14ac:dyDescent="0.2">
      <c r="A57" s="276"/>
      <c r="B57" s="87"/>
      <c r="C57" s="87"/>
      <c r="D57" s="87"/>
      <c r="E57" s="87"/>
      <c r="F57" s="87"/>
      <c r="G57" s="87"/>
      <c r="H57" s="87"/>
      <c r="I57" s="332"/>
      <c r="J57" s="333"/>
      <c r="K57" s="332"/>
      <c r="L57" s="333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75" customFormat="1" ht="20.25" customHeight="1" x14ac:dyDescent="0.2">
      <c r="A58" s="276"/>
      <c r="B58" s="87"/>
      <c r="C58" s="87"/>
      <c r="D58" s="87"/>
      <c r="E58" s="87"/>
      <c r="F58" s="87"/>
      <c r="G58" s="87"/>
      <c r="H58" s="87"/>
      <c r="I58" s="332"/>
      <c r="J58" s="333"/>
      <c r="K58" s="332"/>
      <c r="L58" s="333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">
      <c r="A59" s="276"/>
      <c r="B59" s="87"/>
      <c r="C59" s="87"/>
      <c r="D59" s="87"/>
      <c r="E59" s="87"/>
      <c r="F59" s="87"/>
      <c r="G59" s="87"/>
      <c r="H59" s="87"/>
      <c r="I59" s="332"/>
      <c r="J59" s="333"/>
      <c r="K59" s="332"/>
      <c r="L59" s="333"/>
    </row>
    <row r="60" spans="1:35" ht="18" customHeight="1" x14ac:dyDescent="0.2">
      <c r="A60" s="276"/>
      <c r="B60" s="87"/>
      <c r="C60" s="87"/>
      <c r="D60" s="87"/>
      <c r="E60" s="87"/>
      <c r="F60" s="87"/>
      <c r="G60" s="87"/>
      <c r="H60" s="87"/>
      <c r="I60" s="332"/>
      <c r="J60" s="333"/>
      <c r="K60" s="332"/>
      <c r="L60" s="333"/>
    </row>
    <row r="61" spans="1:35" ht="18" customHeight="1" x14ac:dyDescent="0.2">
      <c r="A61" s="276"/>
      <c r="B61" s="87"/>
      <c r="C61" s="87"/>
      <c r="D61" s="87"/>
      <c r="E61" s="87"/>
      <c r="F61" s="87"/>
      <c r="G61" s="87"/>
      <c r="H61" s="87"/>
      <c r="I61" s="332"/>
      <c r="J61" s="333"/>
      <c r="K61" s="332"/>
      <c r="L61" s="333"/>
    </row>
    <row r="62" spans="1:35" ht="18" x14ac:dyDescent="0.2">
      <c r="A62" s="281"/>
      <c r="B62" s="87"/>
      <c r="C62" s="87"/>
      <c r="D62" s="87"/>
      <c r="E62" s="87"/>
      <c r="F62" s="87"/>
      <c r="G62" s="87"/>
      <c r="H62" s="87"/>
      <c r="I62" s="273"/>
      <c r="J62" s="274"/>
      <c r="K62" s="273"/>
      <c r="L62" s="274"/>
    </row>
    <row r="63" spans="1:35" ht="18" customHeight="1" x14ac:dyDescent="0.2">
      <c r="A63" s="276"/>
      <c r="B63" s="87"/>
      <c r="C63" s="87"/>
      <c r="D63" s="87"/>
      <c r="E63" s="123"/>
      <c r="F63" s="123"/>
      <c r="G63" s="123"/>
      <c r="H63" s="87"/>
      <c r="I63" s="332"/>
      <c r="J63" s="333"/>
      <c r="K63" s="332"/>
      <c r="L63" s="333"/>
    </row>
    <row r="64" spans="1:35" ht="23.25" customHeight="1" x14ac:dyDescent="0.2">
      <c r="A64" s="276"/>
      <c r="B64" s="87"/>
      <c r="C64" s="87"/>
      <c r="D64" s="290"/>
      <c r="E64" s="290"/>
      <c r="F64" s="290"/>
      <c r="G64" s="290"/>
      <c r="H64" s="290"/>
      <c r="I64" s="332"/>
      <c r="J64" s="333"/>
      <c r="K64" s="332"/>
      <c r="L64" s="333"/>
    </row>
    <row r="65" spans="1:35" ht="18" customHeight="1" x14ac:dyDescent="0.2">
      <c r="A65" s="276"/>
      <c r="B65" s="87"/>
      <c r="C65" s="87"/>
      <c r="D65" s="42"/>
      <c r="E65" s="42"/>
      <c r="F65" s="42"/>
      <c r="G65" s="42"/>
      <c r="H65" s="42"/>
      <c r="I65" s="332"/>
      <c r="J65" s="333"/>
      <c r="K65" s="332"/>
      <c r="L65" s="333"/>
    </row>
    <row r="66" spans="1:35" ht="18" customHeight="1" x14ac:dyDescent="0.2">
      <c r="A66" s="276"/>
      <c r="B66" s="87"/>
      <c r="C66" s="87"/>
      <c r="D66" s="42"/>
      <c r="E66" s="42"/>
      <c r="F66" s="42"/>
      <c r="G66" s="42"/>
      <c r="H66" s="42"/>
      <c r="I66" s="332"/>
      <c r="J66" s="333"/>
      <c r="K66" s="332"/>
      <c r="L66" s="333"/>
    </row>
    <row r="67" spans="1:35" ht="18" customHeight="1" x14ac:dyDescent="0.2">
      <c r="A67" s="276"/>
      <c r="B67" s="87"/>
      <c r="C67" s="87"/>
      <c r="D67" s="42"/>
      <c r="E67" s="42"/>
      <c r="F67" s="42"/>
      <c r="G67" s="42"/>
      <c r="H67" s="42"/>
      <c r="I67" s="332"/>
      <c r="J67" s="333"/>
      <c r="K67" s="332"/>
      <c r="L67" s="333"/>
    </row>
    <row r="68" spans="1:35" ht="18" customHeight="1" x14ac:dyDescent="0.2">
      <c r="A68" s="276"/>
      <c r="B68" s="87"/>
      <c r="C68" s="87"/>
      <c r="D68" s="42"/>
      <c r="E68" s="42"/>
      <c r="F68" s="42"/>
      <c r="G68" s="42"/>
      <c r="H68" s="42"/>
      <c r="I68" s="332"/>
      <c r="J68" s="333"/>
      <c r="K68" s="332"/>
      <c r="L68" s="333"/>
    </row>
    <row r="69" spans="1:35" ht="27" customHeight="1" x14ac:dyDescent="0.2">
      <c r="A69" s="276"/>
      <c r="B69" s="87"/>
      <c r="C69" s="87"/>
      <c r="D69" s="42"/>
      <c r="E69" s="42"/>
      <c r="F69" s="42"/>
      <c r="G69" s="42"/>
      <c r="H69" s="42"/>
      <c r="I69" s="332"/>
      <c r="J69" s="333"/>
      <c r="K69" s="332"/>
      <c r="L69" s="333"/>
    </row>
    <row r="70" spans="1:35" x14ac:dyDescent="0.2">
      <c r="A70" s="2"/>
      <c r="J70" s="13"/>
    </row>
    <row r="71" spans="1:35" x14ac:dyDescent="0.2">
      <c r="A71" s="2"/>
      <c r="J71" s="13"/>
    </row>
    <row r="72" spans="1:35" ht="20.25" x14ac:dyDescent="0.2">
      <c r="A72" s="1"/>
      <c r="B72" s="288"/>
      <c r="E72" s="50"/>
      <c r="F72" s="50"/>
      <c r="G72" s="50"/>
      <c r="H72" s="50"/>
      <c r="I72" s="50"/>
      <c r="J72" s="50"/>
    </row>
    <row r="73" spans="1:35" ht="20.25" x14ac:dyDescent="0.2">
      <c r="A73" s="1"/>
      <c r="B73" s="288"/>
      <c r="E73" s="50"/>
      <c r="F73" s="50"/>
      <c r="G73" s="50"/>
      <c r="H73" s="50"/>
      <c r="I73" s="50"/>
      <c r="J73" s="13"/>
    </row>
    <row r="74" spans="1:35" s="20" customFormat="1" x14ac:dyDescent="0.2">
      <c r="A74" s="278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">
      <c r="A75" s="278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">
      <c r="A76" s="286"/>
      <c r="B76" s="11"/>
      <c r="C76" s="11"/>
    </row>
    <row r="77" spans="1:35" ht="17.45" customHeight="1" x14ac:dyDescent="0.2">
      <c r="A77" s="286"/>
      <c r="B77" s="11"/>
      <c r="C77" s="11"/>
    </row>
    <row r="78" spans="1:35" ht="17.45" customHeight="1" x14ac:dyDescent="0.2">
      <c r="A78" s="286"/>
      <c r="B78" s="11"/>
      <c r="C78" s="11"/>
    </row>
    <row r="79" spans="1:35" ht="17.45" customHeight="1" x14ac:dyDescent="0.2">
      <c r="A79" s="286"/>
      <c r="B79" s="11"/>
      <c r="C79" s="11"/>
    </row>
    <row r="80" spans="1:35" ht="18" x14ac:dyDescent="0.2">
      <c r="A80" s="285"/>
      <c r="B80" s="11"/>
      <c r="C80" s="11"/>
    </row>
    <row r="81" spans="1:3" ht="18" customHeight="1" x14ac:dyDescent="0.2">
      <c r="A81" s="388"/>
      <c r="B81" s="11"/>
      <c r="C81" s="11"/>
    </row>
    <row r="82" spans="1:3" ht="18" customHeight="1" x14ac:dyDescent="0.2">
      <c r="A82" s="388"/>
      <c r="B82" s="11"/>
      <c r="C82" s="11"/>
    </row>
    <row r="83" spans="1:3" ht="18" x14ac:dyDescent="0.2">
      <c r="A83" s="286"/>
      <c r="B83" s="11"/>
      <c r="C83" s="11"/>
    </row>
    <row r="84" spans="1:3" ht="18" x14ac:dyDescent="0.2">
      <c r="A84" s="287"/>
      <c r="B84" s="11"/>
      <c r="C84" s="11"/>
    </row>
    <row r="85" spans="1:3" ht="18" x14ac:dyDescent="0.2">
      <c r="A85" s="285"/>
      <c r="B85" s="11"/>
      <c r="C85" s="11"/>
    </row>
    <row r="86" spans="1:3" ht="18" x14ac:dyDescent="0.2">
      <c r="A86" s="285"/>
      <c r="B86" s="11"/>
      <c r="C86" s="11"/>
    </row>
    <row r="87" spans="1:3" ht="18" x14ac:dyDescent="0.2">
      <c r="A87" s="285"/>
      <c r="B87" s="11"/>
      <c r="C87" s="11"/>
    </row>
    <row r="88" spans="1:3" ht="18" x14ac:dyDescent="0.2">
      <c r="A88" s="285"/>
      <c r="B88" s="11"/>
      <c r="C88" s="11"/>
    </row>
    <row r="89" spans="1:3" ht="18" x14ac:dyDescent="0.2">
      <c r="A89" s="285"/>
      <c r="B89" s="11"/>
      <c r="C89" s="11"/>
    </row>
    <row r="90" spans="1:3" ht="18" x14ac:dyDescent="0.2">
      <c r="A90" s="285"/>
      <c r="B90" s="11"/>
      <c r="C90" s="11"/>
    </row>
    <row r="91" spans="1:3" ht="18" x14ac:dyDescent="0.2">
      <c r="A91" s="285"/>
      <c r="B91" s="11"/>
      <c r="C91" s="11"/>
    </row>
    <row r="92" spans="1:3" ht="18" x14ac:dyDescent="0.2">
      <c r="A92" s="25"/>
      <c r="B92" s="11"/>
      <c r="C92" s="11"/>
    </row>
    <row r="93" spans="1:3" ht="18" x14ac:dyDescent="0.2">
      <c r="A93" s="285"/>
      <c r="B93" s="11"/>
      <c r="C93" s="11"/>
    </row>
    <row r="94" spans="1:3" ht="18" x14ac:dyDescent="0.2">
      <c r="A94" s="285"/>
      <c r="B94" s="11"/>
      <c r="C94" s="11"/>
    </row>
    <row r="95" spans="1:3" ht="18" x14ac:dyDescent="0.2">
      <c r="A95" s="285"/>
      <c r="B95" s="11"/>
      <c r="C95" s="11"/>
    </row>
    <row r="96" spans="1:3" ht="18" x14ac:dyDescent="0.2">
      <c r="A96" s="285"/>
      <c r="B96" s="11"/>
      <c r="C96" s="11"/>
    </row>
    <row r="97" spans="1:35" ht="18" x14ac:dyDescent="0.2">
      <c r="A97" s="285"/>
      <c r="B97" s="11"/>
      <c r="C97" s="11"/>
    </row>
    <row r="98" spans="1:35" s="12" customFormat="1" x14ac:dyDescent="0.2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">
      <c r="A100" s="11"/>
      <c r="B100" s="11"/>
      <c r="C100" s="11"/>
    </row>
    <row r="101" spans="1:35" x14ac:dyDescent="0.2">
      <c r="A101" s="11"/>
      <c r="B101" s="11"/>
      <c r="C101" s="11"/>
    </row>
  </sheetData>
  <mergeCells count="115"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zoomScale="90" zoomScaleNormal="90" workbookViewId="0">
      <selection activeCell="B14" sqref="B14"/>
    </sheetView>
  </sheetViews>
  <sheetFormatPr defaultColWidth="8.75" defaultRowHeight="14.25" x14ac:dyDescent="0.2"/>
  <cols>
    <col min="1" max="1" width="27.5" style="10" customWidth="1"/>
    <col min="2" max="2" width="14.625" style="10" customWidth="1"/>
    <col min="3" max="3" width="16.75" style="10" customWidth="1"/>
    <col min="4" max="4" width="13.5" style="10" customWidth="1"/>
    <col min="5" max="5" width="19.5" style="10" customWidth="1"/>
    <col min="6" max="6" width="12.875" style="10" customWidth="1"/>
    <col min="7" max="7" width="10.875" style="3" customWidth="1"/>
    <col min="8" max="8" width="13.5" style="3" customWidth="1"/>
    <col min="9" max="9" width="16.625" style="3" customWidth="1"/>
    <col min="10" max="10" width="11.5" style="3" customWidth="1"/>
    <col min="11" max="11" width="11.125" style="43" customWidth="1"/>
    <col min="12" max="12" width="3.75" style="206" customWidth="1"/>
    <col min="13" max="13" width="20.5" style="206" customWidth="1"/>
    <col min="14" max="14" width="14.375" style="43" customWidth="1"/>
    <col min="15" max="16" width="13.5" style="43" customWidth="1"/>
    <col min="17" max="17" width="14.25" style="43" customWidth="1"/>
    <col min="18" max="18" width="9.125" style="3" customWidth="1"/>
    <col min="19" max="19" width="9.5" style="3" customWidth="1"/>
    <col min="20" max="24" width="8.75" style="3"/>
    <col min="25" max="25" width="15.75" style="3" customWidth="1"/>
    <col min="26" max="16384" width="8.75" style="3"/>
  </cols>
  <sheetData>
    <row r="1" spans="1:24" s="224" customFormat="1" ht="18" customHeight="1" x14ac:dyDescent="0.2">
      <c r="A1" s="460" t="s">
        <v>45</v>
      </c>
      <c r="B1" s="461" t="s">
        <v>9</v>
      </c>
      <c r="C1" s="463" t="s">
        <v>51</v>
      </c>
      <c r="D1" s="464"/>
      <c r="E1" s="232" t="s">
        <v>247</v>
      </c>
      <c r="F1" s="372" t="s">
        <v>63</v>
      </c>
      <c r="G1" s="374"/>
      <c r="H1" s="452" t="s">
        <v>43</v>
      </c>
      <c r="I1" s="455" t="s">
        <v>65</v>
      </c>
      <c r="J1" s="456"/>
    </row>
    <row r="2" spans="1:24" ht="21" customHeight="1" x14ac:dyDescent="0.2">
      <c r="A2" s="460"/>
      <c r="B2" s="462"/>
      <c r="C2" s="463"/>
      <c r="D2" s="464"/>
      <c r="E2" s="232" t="s">
        <v>244</v>
      </c>
      <c r="F2" s="372" t="s">
        <v>63</v>
      </c>
      <c r="G2" s="374"/>
      <c r="H2" s="453"/>
      <c r="I2" s="457"/>
      <c r="J2" s="458"/>
      <c r="M2" s="363" t="s">
        <v>214</v>
      </c>
      <c r="N2" s="363"/>
      <c r="O2" s="363"/>
      <c r="P2" s="206"/>
      <c r="Q2" s="468" t="s">
        <v>202</v>
      </c>
      <c r="R2" s="468"/>
      <c r="S2" s="468"/>
      <c r="T2" s="468"/>
      <c r="U2" s="84"/>
      <c r="V2" s="84"/>
      <c r="W2" s="84"/>
      <c r="X2" s="84"/>
    </row>
    <row r="3" spans="1:24" ht="18" customHeight="1" x14ac:dyDescent="0.2">
      <c r="A3" s="358" t="s">
        <v>275</v>
      </c>
      <c r="B3" s="359">
        <f>IF(AND(A3="بياني"),(J32),IF(AND(A3="بياني مستودع"),(J33),IF(AND(A3="منشأت خاصة"),(1600),IF(AND(A3="سكن ريفي"),(600)))))</f>
        <v>100000</v>
      </c>
      <c r="C3" s="465">
        <f>IF(AND(B6&lt;=70),(0),IF(AND(B6&gt;70),((B6-70)*J34),IF(AND(A3="منشأت خاصة"),(1600),IF(AND(A3="سكن ريفي"),(600)))))</f>
        <v>15000</v>
      </c>
      <c r="D3" s="466"/>
      <c r="E3" s="232" t="s">
        <v>24</v>
      </c>
      <c r="F3" s="372" t="s">
        <v>64</v>
      </c>
      <c r="G3" s="374"/>
      <c r="H3" s="74" t="s">
        <v>42</v>
      </c>
      <c r="I3" s="372">
        <v>29</v>
      </c>
      <c r="J3" s="374"/>
      <c r="M3" s="363"/>
      <c r="N3" s="363"/>
      <c r="O3" s="363"/>
      <c r="P3" s="206"/>
      <c r="Q3" s="468"/>
      <c r="R3" s="468"/>
      <c r="S3" s="468"/>
      <c r="T3" s="468"/>
      <c r="U3" s="84"/>
      <c r="V3" s="84"/>
      <c r="W3" s="84"/>
      <c r="X3" s="84"/>
    </row>
    <row r="4" spans="1:24" ht="15" customHeight="1" x14ac:dyDescent="0.25">
      <c r="A4" s="358"/>
      <c r="B4" s="359"/>
      <c r="C4" s="465"/>
      <c r="D4" s="466"/>
      <c r="E4" s="233" t="s">
        <v>28</v>
      </c>
      <c r="F4" s="258">
        <v>11</v>
      </c>
      <c r="G4" s="74" t="s">
        <v>248</v>
      </c>
      <c r="H4" s="372" t="s">
        <v>249</v>
      </c>
      <c r="I4" s="374"/>
      <c r="J4" s="51"/>
      <c r="K4" s="51"/>
      <c r="M4" s="361" t="s">
        <v>215</v>
      </c>
      <c r="N4" s="361"/>
      <c r="O4" s="361"/>
      <c r="P4" s="206"/>
      <c r="Q4" s="428" t="s">
        <v>243</v>
      </c>
      <c r="R4" s="428"/>
      <c r="S4" s="428"/>
      <c r="T4" s="160"/>
      <c r="U4" s="160"/>
      <c r="V4" s="160"/>
      <c r="W4" s="160"/>
      <c r="X4" s="160"/>
    </row>
    <row r="5" spans="1:24" ht="12" customHeight="1" x14ac:dyDescent="0.2">
      <c r="A5" s="15"/>
      <c r="B5" s="15"/>
      <c r="C5" s="15"/>
      <c r="D5" s="15"/>
      <c r="E5" s="15"/>
      <c r="F5" s="15"/>
      <c r="H5" s="51"/>
      <c r="I5" s="51"/>
      <c r="J5" s="51"/>
      <c r="K5" s="51"/>
      <c r="M5" s="361"/>
      <c r="N5" s="361"/>
      <c r="O5" s="361"/>
      <c r="P5" s="206"/>
      <c r="Q5" s="428"/>
      <c r="R5" s="428"/>
      <c r="S5" s="428"/>
      <c r="T5" s="160"/>
      <c r="U5" s="160"/>
      <c r="V5" s="160"/>
      <c r="W5" s="160"/>
      <c r="X5" s="160"/>
    </row>
    <row r="6" spans="1:24" ht="15" customHeight="1" x14ac:dyDescent="0.2">
      <c r="A6" s="364" t="s">
        <v>12</v>
      </c>
      <c r="B6" s="365">
        <v>100</v>
      </c>
      <c r="C6" s="461" t="s">
        <v>49</v>
      </c>
      <c r="D6" s="467" t="s">
        <v>206</v>
      </c>
      <c r="G6" s="81"/>
      <c r="M6" s="362" t="s">
        <v>216</v>
      </c>
      <c r="N6" s="361" t="str">
        <f>D6</f>
        <v>قامشلو</v>
      </c>
      <c r="O6" s="361"/>
      <c r="P6" s="182"/>
      <c r="Q6" s="371" t="str">
        <f>IF(AND(N6="قامشلو"),(J18),IF(AND(N6="ديريك"),(J20),IF(AND(N6="الحسكه"),(J19),IF(AND(N6="عاموده"),(J22)))))</f>
        <v>Qamışlo</v>
      </c>
      <c r="R6" s="334" t="s">
        <v>203</v>
      </c>
      <c r="S6" s="334"/>
      <c r="T6" s="84"/>
      <c r="U6" s="84"/>
      <c r="V6" s="84"/>
      <c r="W6" s="84"/>
      <c r="X6" s="84"/>
    </row>
    <row r="7" spans="1:24" ht="15.75" customHeight="1" x14ac:dyDescent="0.2">
      <c r="A7" s="364"/>
      <c r="B7" s="365"/>
      <c r="C7" s="462"/>
      <c r="D7" s="467"/>
      <c r="G7" s="81"/>
      <c r="M7" s="362"/>
      <c r="N7" s="361"/>
      <c r="O7" s="361"/>
      <c r="P7" s="206"/>
      <c r="Q7" s="371"/>
      <c r="R7" s="334"/>
      <c r="S7" s="334"/>
      <c r="T7" s="84"/>
      <c r="U7" s="84"/>
      <c r="V7" s="84"/>
      <c r="W7" s="84"/>
      <c r="X7" s="84"/>
    </row>
    <row r="8" spans="1:24" ht="19.5" customHeight="1" x14ac:dyDescent="0.2">
      <c r="A8" s="213" t="s">
        <v>153</v>
      </c>
      <c r="B8" s="260" t="s">
        <v>132</v>
      </c>
      <c r="C8" s="269" t="s">
        <v>142</v>
      </c>
      <c r="D8" s="270" t="s">
        <v>137</v>
      </c>
      <c r="E8" s="436" t="s">
        <v>49</v>
      </c>
      <c r="F8" s="436" t="s">
        <v>50</v>
      </c>
      <c r="I8" s="323" t="s">
        <v>170</v>
      </c>
      <c r="J8" s="323"/>
      <c r="M8" s="38" t="s">
        <v>168</v>
      </c>
      <c r="N8" s="369">
        <f ca="1">TODAY()</f>
        <v>46205</v>
      </c>
      <c r="O8" s="369"/>
      <c r="P8" s="206"/>
      <c r="Q8" s="241">
        <f ca="1">TODAY()</f>
        <v>46205</v>
      </c>
      <c r="R8" s="428" t="s">
        <v>241</v>
      </c>
      <c r="S8" s="428"/>
      <c r="T8" s="160"/>
      <c r="U8" s="160"/>
      <c r="V8" s="160"/>
      <c r="W8" s="160"/>
      <c r="X8" s="160"/>
    </row>
    <row r="9" spans="1:24" s="51" customFormat="1" ht="21" customHeight="1" x14ac:dyDescent="0.2">
      <c r="A9" s="216" t="s">
        <v>40</v>
      </c>
      <c r="B9" s="260" t="s">
        <v>96</v>
      </c>
      <c r="C9" s="269" t="s">
        <v>57</v>
      </c>
      <c r="D9" s="270" t="s">
        <v>109</v>
      </c>
      <c r="E9" s="437"/>
      <c r="F9" s="437"/>
      <c r="G9" s="3"/>
      <c r="H9" s="51">
        <v>9</v>
      </c>
      <c r="I9" s="78" t="s">
        <v>310</v>
      </c>
      <c r="J9" s="78">
        <v>0.1</v>
      </c>
      <c r="L9" s="206"/>
      <c r="M9" s="370" t="s">
        <v>217</v>
      </c>
      <c r="N9" s="370"/>
      <c r="O9" s="370"/>
      <c r="P9" s="370"/>
      <c r="Q9" s="370"/>
      <c r="R9" s="370"/>
      <c r="S9" s="370"/>
      <c r="T9" s="242"/>
      <c r="U9" s="242"/>
      <c r="V9" s="231"/>
      <c r="W9" s="231"/>
      <c r="X9" s="231"/>
    </row>
    <row r="10" spans="1:24" s="206" customFormat="1" ht="21" customHeight="1" x14ac:dyDescent="0.2">
      <c r="A10" s="216" t="s">
        <v>237</v>
      </c>
      <c r="B10" s="260" t="s">
        <v>238</v>
      </c>
      <c r="C10" s="269" t="s">
        <v>238</v>
      </c>
      <c r="D10" s="270" t="s">
        <v>238</v>
      </c>
      <c r="E10" s="437"/>
      <c r="F10" s="437"/>
      <c r="H10" s="268">
        <v>10</v>
      </c>
      <c r="I10" s="78" t="s">
        <v>173</v>
      </c>
      <c r="J10" s="78">
        <v>0.2</v>
      </c>
      <c r="M10" s="354" t="s">
        <v>245</v>
      </c>
      <c r="N10" s="354"/>
      <c r="O10" s="354"/>
      <c r="P10" s="354"/>
      <c r="Q10" s="354"/>
      <c r="R10" s="354"/>
      <c r="S10" s="354"/>
      <c r="T10" s="67"/>
      <c r="U10" s="67"/>
      <c r="V10" s="67"/>
      <c r="W10" s="67"/>
      <c r="X10" s="207"/>
    </row>
    <row r="11" spans="1:24" s="101" customFormat="1" ht="21" customHeight="1" x14ac:dyDescent="0.2">
      <c r="A11" s="213" t="s">
        <v>152</v>
      </c>
      <c r="B11" s="271" t="s">
        <v>310</v>
      </c>
      <c r="C11" s="271" t="s">
        <v>310</v>
      </c>
      <c r="D11" s="271" t="s">
        <v>310</v>
      </c>
      <c r="E11" s="438"/>
      <c r="F11" s="438"/>
      <c r="H11" s="268">
        <v>11</v>
      </c>
      <c r="I11" s="78"/>
      <c r="J11" s="78"/>
      <c r="L11" s="206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206"/>
    </row>
    <row r="12" spans="1:24" ht="22.5" customHeight="1" x14ac:dyDescent="0.2">
      <c r="A12" s="214" t="s">
        <v>52</v>
      </c>
      <c r="B12" s="17">
        <f>(B3+C3)*0.4</f>
        <v>46000</v>
      </c>
      <c r="C12" s="17">
        <f>(B3+C3)*0.25</f>
        <v>28750</v>
      </c>
      <c r="D12" s="17">
        <f>(B3+C3)*0.25</f>
        <v>28750</v>
      </c>
      <c r="E12" s="17">
        <f>(B3+C3)*0.05</f>
        <v>5750</v>
      </c>
      <c r="F12" s="17">
        <f>E12</f>
        <v>5750</v>
      </c>
      <c r="G12" s="51">
        <f>SUM(B12:F12)</f>
        <v>115000</v>
      </c>
      <c r="H12" s="268">
        <v>12</v>
      </c>
      <c r="I12" s="78"/>
      <c r="J12" s="78"/>
      <c r="M12" s="234" t="s">
        <v>246</v>
      </c>
      <c r="N12" s="445" t="str">
        <f>F1</f>
        <v>سامي ابراهيم يوسف</v>
      </c>
      <c r="O12" s="445"/>
      <c r="P12" s="446" t="s">
        <v>23</v>
      </c>
      <c r="Q12" s="459" t="str">
        <f>H4</f>
        <v>صيدلية او مستودع او مخبر او غيرها</v>
      </c>
      <c r="R12" s="459"/>
      <c r="V12" s="67"/>
      <c r="W12" s="67"/>
      <c r="X12" s="206"/>
    </row>
    <row r="13" spans="1:24" ht="21.75" customHeight="1" x14ac:dyDescent="0.2">
      <c r="A13" s="213" t="s">
        <v>7</v>
      </c>
      <c r="B13" s="34">
        <f>IF(AND(B11=I9),(B12*J9),IF(AND(B11=I10),(B12*J10),IF(AND(B11=I11),(B12*J11),IF(AND(B11=I12),(B12*J12),IF(AND(B11=I13),(B12*J13),IF(AND(B11=I14),(B12*J14),IF(AND(B11=I15),(B12*J15))))))))</f>
        <v>4600</v>
      </c>
      <c r="C13" s="217">
        <f>IF(AND(C11=I9),(C12*J9),IF(AND(C11=I10),(C12*J10),IF(AND(C11=I11),(C12*J11),IF(AND(C11=I12),(C12*J12),IF(AND(C11=I13),(C12*J13),IF(AND(C11=I14),(C12*J14),IF(AND(C11=I15),(C12*J15))))))))</f>
        <v>2875</v>
      </c>
      <c r="D13" s="217">
        <f>IF(AND(D11=I9),(D12*J9),IF(AND(D11=I10),(D12*J10),IF(AND(D11=I11),(D12*J11),IF(AND(D11=I12),(D12*J12),IF(AND(D11=I13),(D12*J13),IF(AND(D11=I14),(D12*J14),IF(AND(D11=I15),(D12*J15))))))))</f>
        <v>2875</v>
      </c>
      <c r="E13" s="35"/>
      <c r="F13" s="48"/>
      <c r="H13" s="268">
        <v>13</v>
      </c>
      <c r="I13" s="78" t="s">
        <v>311</v>
      </c>
      <c r="J13" s="78">
        <v>0.25</v>
      </c>
      <c r="M13" s="235" t="str">
        <f>E2</f>
        <v>صاحب العلاقة(الصيدلي) :</v>
      </c>
      <c r="N13" s="445" t="str">
        <f>F2</f>
        <v>سامي ابراهيم يوسف</v>
      </c>
      <c r="O13" s="445"/>
      <c r="P13" s="446"/>
      <c r="Q13" s="459"/>
      <c r="R13" s="459"/>
      <c r="S13" s="183"/>
      <c r="T13" s="183"/>
      <c r="U13" s="235"/>
      <c r="V13" s="67"/>
      <c r="W13" s="209"/>
      <c r="X13" s="206"/>
    </row>
    <row r="14" spans="1:24" ht="18" x14ac:dyDescent="0.25">
      <c r="A14" s="213" t="s">
        <v>251</v>
      </c>
      <c r="B14" s="34">
        <f>B12-B13</f>
        <v>41400</v>
      </c>
      <c r="C14" s="58">
        <f t="shared" ref="C14:D14" si="0">C12-C13</f>
        <v>25875</v>
      </c>
      <c r="D14" s="58">
        <f t="shared" si="0"/>
        <v>25875</v>
      </c>
      <c r="E14" s="35"/>
      <c r="F14" s="48"/>
      <c r="H14" s="268">
        <v>14</v>
      </c>
      <c r="I14" s="78" t="s">
        <v>276</v>
      </c>
      <c r="J14" s="78">
        <v>0.4</v>
      </c>
      <c r="M14" s="208"/>
      <c r="N14" s="122"/>
      <c r="O14" s="122"/>
      <c r="P14" s="208"/>
      <c r="Q14" s="208"/>
      <c r="R14" s="208"/>
      <c r="S14" s="208"/>
      <c r="T14" s="208"/>
      <c r="U14" s="37"/>
      <c r="V14" s="210"/>
      <c r="W14" s="206"/>
      <c r="X14" s="206"/>
    </row>
    <row r="15" spans="1:24" s="206" customFormat="1" ht="20.25" x14ac:dyDescent="0.25">
      <c r="A15" s="213" t="s">
        <v>239</v>
      </c>
      <c r="B15" s="217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7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7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8"/>
      <c r="F15" s="218"/>
      <c r="H15" s="268">
        <v>15</v>
      </c>
      <c r="I15" s="78"/>
      <c r="J15" s="78"/>
      <c r="M15" s="237" t="s">
        <v>75</v>
      </c>
      <c r="N15" s="83">
        <f>B21</f>
        <v>130000</v>
      </c>
      <c r="O15" s="236" t="s">
        <v>76</v>
      </c>
      <c r="P15" s="40" t="s">
        <v>28</v>
      </c>
      <c r="Q15" s="122">
        <f>F4</f>
        <v>11</v>
      </c>
      <c r="R15" s="183" t="s">
        <v>250</v>
      </c>
      <c r="S15" s="234">
        <f>B6</f>
        <v>100</v>
      </c>
      <c r="T15" s="235" t="s">
        <v>41</v>
      </c>
      <c r="U15" s="428"/>
      <c r="V15" s="428"/>
      <c r="W15" s="209"/>
    </row>
    <row r="16" spans="1:24" s="101" customFormat="1" ht="18" x14ac:dyDescent="0.2">
      <c r="A16" s="213" t="s">
        <v>73</v>
      </c>
      <c r="B16" s="103">
        <v>5000</v>
      </c>
      <c r="C16" s="103">
        <v>5000</v>
      </c>
      <c r="D16" s="103">
        <v>5000</v>
      </c>
      <c r="E16" s="100"/>
      <c r="F16" s="100"/>
      <c r="L16" s="206"/>
      <c r="M16" s="208"/>
      <c r="N16" s="208"/>
      <c r="O16" s="208"/>
      <c r="P16" s="208"/>
      <c r="Q16" s="39"/>
      <c r="R16" s="39"/>
      <c r="S16" s="206"/>
      <c r="T16" s="206"/>
      <c r="U16" s="208"/>
      <c r="V16" s="210"/>
      <c r="W16" s="206"/>
      <c r="X16" s="206"/>
    </row>
    <row r="17" spans="1:34" ht="27" customHeight="1" x14ac:dyDescent="0.2">
      <c r="A17" s="213" t="s">
        <v>74</v>
      </c>
      <c r="B17" s="34">
        <f>B14-B15</f>
        <v>41400</v>
      </c>
      <c r="C17" s="217">
        <f>C14-C15</f>
        <v>25875</v>
      </c>
      <c r="D17" s="217">
        <f>D14-D15</f>
        <v>25875</v>
      </c>
      <c r="E17" s="35"/>
      <c r="F17" s="48"/>
      <c r="H17" s="160"/>
      <c r="I17" s="313" t="s">
        <v>204</v>
      </c>
      <c r="J17" s="313"/>
      <c r="M17" s="38" t="s">
        <v>24</v>
      </c>
      <c r="N17" s="451" t="str">
        <f>F3</f>
        <v>قامشلي - سابعة</v>
      </c>
      <c r="O17" s="451"/>
      <c r="P17" s="38" t="s">
        <v>43</v>
      </c>
      <c r="Q17" s="239" t="str">
        <f>I1</f>
        <v>جزء من العقار 10</v>
      </c>
      <c r="R17" s="38" t="s">
        <v>42</v>
      </c>
      <c r="S17" s="223">
        <f>I3</f>
        <v>29</v>
      </c>
      <c r="U17" s="239"/>
      <c r="V17" s="239"/>
      <c r="W17" s="183"/>
      <c r="X17" s="206"/>
    </row>
    <row r="18" spans="1:34" ht="20.25" customHeight="1" x14ac:dyDescent="0.2">
      <c r="A18" s="447" t="s">
        <v>14</v>
      </c>
      <c r="B18" s="443">
        <f>SUM(B12:F12)</f>
        <v>115000</v>
      </c>
      <c r="C18" s="14"/>
      <c r="D18" s="14"/>
      <c r="E18" s="14"/>
      <c r="F18" s="27"/>
      <c r="I18" s="170" t="s">
        <v>206</v>
      </c>
      <c r="J18" s="78" t="s">
        <v>205</v>
      </c>
      <c r="M18" s="183"/>
      <c r="N18" s="183"/>
      <c r="O18" s="183"/>
      <c r="P18" s="183"/>
      <c r="Q18" s="183"/>
      <c r="R18" s="183"/>
      <c r="S18" s="183"/>
      <c r="T18" s="206"/>
      <c r="U18" s="206"/>
      <c r="V18" s="206"/>
      <c r="W18" s="206"/>
      <c r="X18" s="206"/>
    </row>
    <row r="19" spans="1:34" ht="15.75" customHeight="1" x14ac:dyDescent="0.2">
      <c r="A19" s="447"/>
      <c r="B19" s="444"/>
      <c r="C19" s="14"/>
      <c r="D19" s="14"/>
      <c r="E19" s="14"/>
      <c r="F19" s="27"/>
      <c r="I19" s="170" t="s">
        <v>207</v>
      </c>
      <c r="J19" s="78" t="s">
        <v>210</v>
      </c>
      <c r="M19" s="28"/>
      <c r="N19" s="28"/>
      <c r="O19" s="225" t="str">
        <f>B8</f>
        <v>معماري_قامشلو</v>
      </c>
      <c r="P19" s="225" t="str">
        <f>C8</f>
        <v>كهربا_قامشلو</v>
      </c>
      <c r="Q19" s="225" t="str">
        <f>D8</f>
        <v>ميكانيك_قامشلو</v>
      </c>
      <c r="R19" s="469" t="str">
        <f>E8</f>
        <v>الغرفة</v>
      </c>
      <c r="S19" s="469" t="str">
        <f>F8</f>
        <v>الاتحاد</v>
      </c>
    </row>
    <row r="20" spans="1:34" ht="26.25" customHeight="1" x14ac:dyDescent="0.2">
      <c r="A20" s="215" t="s">
        <v>15</v>
      </c>
      <c r="B20" s="99">
        <f>B16+C16+D16</f>
        <v>15000</v>
      </c>
      <c r="C20" s="14"/>
      <c r="D20" s="14"/>
      <c r="E20" s="14"/>
      <c r="F20" s="27"/>
      <c r="I20" s="170" t="s">
        <v>208</v>
      </c>
      <c r="J20" s="78" t="s">
        <v>211</v>
      </c>
      <c r="M20" s="28"/>
      <c r="N20" s="28"/>
      <c r="O20" s="469" t="str">
        <f>B11</f>
        <v>خارج الصندوق10%</v>
      </c>
      <c r="P20" s="469" t="str">
        <f>C11</f>
        <v>خارج الصندوق10%</v>
      </c>
      <c r="Q20" s="469" t="str">
        <f>D11</f>
        <v>خارج الصندوق10%</v>
      </c>
      <c r="R20" s="470"/>
      <c r="S20" s="470"/>
      <c r="T20" s="13"/>
      <c r="U20" s="13"/>
      <c r="V20" s="13"/>
      <c r="W20" s="13"/>
      <c r="X20" s="13"/>
      <c r="Y20" s="13"/>
    </row>
    <row r="21" spans="1:34" ht="14.25" customHeight="1" x14ac:dyDescent="0.2">
      <c r="A21" s="440" t="s">
        <v>16</v>
      </c>
      <c r="B21" s="441">
        <f>B18+B20</f>
        <v>130000</v>
      </c>
      <c r="C21" s="14"/>
      <c r="D21" s="14"/>
      <c r="E21" s="14"/>
      <c r="F21" s="27"/>
      <c r="H21" s="11"/>
      <c r="I21" s="170" t="s">
        <v>191</v>
      </c>
      <c r="J21" s="78" t="s">
        <v>213</v>
      </c>
      <c r="M21" s="28"/>
      <c r="N21" s="28"/>
      <c r="O21" s="471"/>
      <c r="P21" s="471"/>
      <c r="Q21" s="471"/>
      <c r="R21" s="471"/>
      <c r="S21" s="471"/>
      <c r="T21" s="13"/>
      <c r="U21" s="13"/>
      <c r="V21" s="13"/>
      <c r="W21" s="13"/>
      <c r="X21" s="13"/>
      <c r="Y21" s="13"/>
    </row>
    <row r="22" spans="1:34" ht="21" customHeight="1" x14ac:dyDescent="0.2">
      <c r="A22" s="440"/>
      <c r="B22" s="442"/>
      <c r="C22" s="14"/>
      <c r="D22" s="14"/>
      <c r="E22" s="14"/>
      <c r="F22" s="13"/>
      <c r="H22" s="11"/>
      <c r="I22" s="170" t="s">
        <v>209</v>
      </c>
      <c r="J22" s="78" t="s">
        <v>212</v>
      </c>
      <c r="M22" s="435" t="s">
        <v>36</v>
      </c>
      <c r="N22" s="435"/>
      <c r="O22" s="32">
        <f t="shared" ref="O22:S25" si="1">B12</f>
        <v>46000</v>
      </c>
      <c r="P22" s="32">
        <f t="shared" si="1"/>
        <v>28750</v>
      </c>
      <c r="Q22" s="32">
        <f t="shared" si="1"/>
        <v>28750</v>
      </c>
      <c r="R22" s="32">
        <f t="shared" si="1"/>
        <v>5750</v>
      </c>
      <c r="S22" s="32">
        <f t="shared" si="1"/>
        <v>5750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">
      <c r="G23" s="3"/>
      <c r="H23" s="11"/>
      <c r="I23" s="170"/>
      <c r="J23" s="78"/>
      <c r="K23" s="13"/>
      <c r="L23" s="13"/>
      <c r="M23" s="435" t="s">
        <v>38</v>
      </c>
      <c r="N23" s="435"/>
      <c r="O23" s="32">
        <f t="shared" si="1"/>
        <v>4600</v>
      </c>
      <c r="P23" s="32">
        <f t="shared" si="1"/>
        <v>2875</v>
      </c>
      <c r="Q23" s="32">
        <f t="shared" si="1"/>
        <v>2875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">
      <c r="G24" s="13"/>
      <c r="H24" s="11"/>
      <c r="I24" s="11"/>
      <c r="J24" s="13"/>
      <c r="K24" s="13"/>
      <c r="L24" s="13"/>
      <c r="M24" s="435" t="s">
        <v>37</v>
      </c>
      <c r="N24" s="435"/>
      <c r="O24" s="32">
        <f t="shared" si="1"/>
        <v>41400</v>
      </c>
      <c r="P24" s="32">
        <f t="shared" si="1"/>
        <v>25875</v>
      </c>
      <c r="Q24" s="32">
        <f t="shared" si="1"/>
        <v>25875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">
      <c r="G25" s="13"/>
      <c r="H25" s="11"/>
      <c r="I25" s="11"/>
      <c r="J25" s="13"/>
      <c r="K25" s="13"/>
      <c r="L25" s="13"/>
      <c r="M25" s="435" t="s">
        <v>239</v>
      </c>
      <c r="N25" s="435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">
      <c r="A26" s="51"/>
      <c r="B26" s="51"/>
      <c r="C26" s="51"/>
      <c r="D26" s="51"/>
      <c r="E26" s="51"/>
      <c r="F26" s="13"/>
      <c r="G26" s="13"/>
      <c r="M26" s="435" t="s">
        <v>177</v>
      </c>
      <c r="N26" s="435"/>
      <c r="O26" s="32">
        <f>B17</f>
        <v>41400</v>
      </c>
      <c r="P26" s="32">
        <f>C17</f>
        <v>25875</v>
      </c>
      <c r="Q26" s="32">
        <f>D17</f>
        <v>25875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">
      <c r="A27" s="51"/>
      <c r="B27" s="51"/>
      <c r="C27" s="51"/>
      <c r="D27" s="51"/>
      <c r="E27" s="51"/>
      <c r="F27" s="51"/>
      <c r="M27" s="435" t="s">
        <v>155</v>
      </c>
      <c r="N27" s="435"/>
      <c r="O27" s="240">
        <f>B17+B16</f>
        <v>46400</v>
      </c>
      <c r="P27" s="240">
        <f>C17+C16</f>
        <v>30875</v>
      </c>
      <c r="Q27" s="240">
        <f>D17+D16</f>
        <v>30875</v>
      </c>
      <c r="R27" s="240">
        <f>E17+E16</f>
        <v>0</v>
      </c>
      <c r="S27" s="240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">
      <c r="A28" s="51"/>
      <c r="B28" s="51"/>
      <c r="C28" s="51"/>
      <c r="D28" s="51"/>
      <c r="E28" s="51"/>
      <c r="F28" s="51"/>
      <c r="M28" s="435" t="s">
        <v>40</v>
      </c>
      <c r="N28" s="435"/>
      <c r="O28" s="472" t="str">
        <f>B9</f>
        <v xml:space="preserve">شكري حمزة </v>
      </c>
      <c r="P28" s="472" t="str">
        <f>C9</f>
        <v>اكرم محمود</v>
      </c>
      <c r="Q28" s="472" t="str">
        <f>D9</f>
        <v>ادريس سعدون</v>
      </c>
      <c r="R28" s="472">
        <f>E9</f>
        <v>0</v>
      </c>
      <c r="S28" s="472">
        <f>F9</f>
        <v>0</v>
      </c>
    </row>
    <row r="29" spans="1:34" ht="21" customHeight="1" x14ac:dyDescent="0.2">
      <c r="A29" s="51"/>
      <c r="B29" s="51"/>
      <c r="C29" s="51"/>
      <c r="D29" s="51"/>
      <c r="E29" s="51"/>
      <c r="F29" s="51"/>
      <c r="M29" s="435"/>
      <c r="N29" s="435"/>
      <c r="O29" s="472"/>
      <c r="P29" s="472"/>
      <c r="Q29" s="472"/>
      <c r="R29" s="472"/>
      <c r="S29" s="472"/>
    </row>
    <row r="30" spans="1:34" s="101" customFormat="1" ht="34.5" customHeight="1" x14ac:dyDescent="0.2">
      <c r="L30" s="206"/>
      <c r="M30" s="435" t="s">
        <v>20</v>
      </c>
      <c r="N30" s="435"/>
      <c r="O30" s="32"/>
      <c r="P30" s="33"/>
      <c r="Q30" s="33"/>
      <c r="R30" s="33"/>
      <c r="S30" s="33"/>
    </row>
    <row r="31" spans="1:34" s="29" customFormat="1" ht="35.25" customHeight="1" x14ac:dyDescent="0.2">
      <c r="G31" s="3"/>
      <c r="H31" s="448" t="s">
        <v>66</v>
      </c>
      <c r="I31" s="448"/>
      <c r="J31" s="448"/>
      <c r="L31" s="210"/>
      <c r="M31" s="435" t="s">
        <v>237</v>
      </c>
      <c r="N31" s="435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">
      <c r="H32" s="429" t="s">
        <v>275</v>
      </c>
      <c r="I32" s="429"/>
      <c r="J32" s="79">
        <v>100000</v>
      </c>
      <c r="L32" s="210"/>
      <c r="M32" s="435" t="s">
        <v>239</v>
      </c>
      <c r="N32" s="435"/>
      <c r="O32" s="240">
        <f>B15</f>
        <v>0</v>
      </c>
      <c r="P32" s="240">
        <f>C15</f>
        <v>0</v>
      </c>
      <c r="Q32" s="240">
        <f>D15</f>
        <v>0</v>
      </c>
      <c r="R32" s="240">
        <f>E15</f>
        <v>0</v>
      </c>
      <c r="S32" s="240">
        <f>F15</f>
        <v>0</v>
      </c>
    </row>
    <row r="33" spans="7:21" s="29" customFormat="1" ht="36" customHeight="1" x14ac:dyDescent="0.2">
      <c r="H33" s="430" t="s">
        <v>274</v>
      </c>
      <c r="I33" s="430"/>
      <c r="J33" s="79">
        <v>150000</v>
      </c>
      <c r="L33" s="210"/>
      <c r="M33" s="435" t="s">
        <v>240</v>
      </c>
      <c r="N33" s="435"/>
      <c r="O33" s="32"/>
      <c r="P33" s="228"/>
      <c r="Q33" s="33"/>
      <c r="R33" s="33"/>
      <c r="S33" s="33"/>
    </row>
    <row r="34" spans="7:21" s="29" customFormat="1" ht="20.25" customHeight="1" x14ac:dyDescent="0.2">
      <c r="H34" s="431" t="s">
        <v>71</v>
      </c>
      <c r="I34" s="432"/>
      <c r="J34" s="449">
        <v>500</v>
      </c>
      <c r="L34" s="210"/>
      <c r="M34" s="210"/>
      <c r="N34" s="1"/>
      <c r="O34" s="46"/>
    </row>
    <row r="35" spans="7:21" s="29" customFormat="1" ht="20.25" customHeight="1" x14ac:dyDescent="0.2">
      <c r="H35" s="433" t="s">
        <v>70</v>
      </c>
      <c r="I35" s="434"/>
      <c r="J35" s="450"/>
      <c r="L35" s="210"/>
      <c r="M35" s="210"/>
      <c r="N35" s="1"/>
      <c r="O35" s="397" t="s">
        <v>242</v>
      </c>
      <c r="P35" s="397"/>
      <c r="Q35" s="397"/>
      <c r="R35" s="397"/>
      <c r="S35" s="331" t="str">
        <f>D6</f>
        <v>قامشلو</v>
      </c>
      <c r="T35" s="331"/>
      <c r="U35" s="50"/>
    </row>
    <row r="36" spans="7:21" s="29" customFormat="1" ht="20.25" customHeight="1" x14ac:dyDescent="0.2">
      <c r="L36" s="210"/>
      <c r="M36" s="210"/>
      <c r="O36" s="30"/>
      <c r="P36" s="439"/>
      <c r="Q36" s="439"/>
      <c r="R36" s="439"/>
      <c r="S36" s="439"/>
    </row>
    <row r="37" spans="7:21" s="29" customFormat="1" ht="20.25" customHeight="1" x14ac:dyDescent="0.2">
      <c r="L37" s="210"/>
      <c r="M37" s="210"/>
      <c r="Q37" s="50"/>
      <c r="R37" s="50"/>
      <c r="S37" s="13"/>
    </row>
    <row r="38" spans="7:21" s="29" customFormat="1" ht="20.25" customHeight="1" x14ac:dyDescent="0.2">
      <c r="L38" s="210"/>
      <c r="M38" s="210"/>
    </row>
    <row r="39" spans="7:21" s="29" customFormat="1" ht="20.25" customHeight="1" x14ac:dyDescent="0.2">
      <c r="L39" s="210"/>
    </row>
    <row r="40" spans="7:21" s="62" customFormat="1" ht="20.25" customHeight="1" x14ac:dyDescent="0.2">
      <c r="G40" s="13"/>
      <c r="H40" s="71"/>
      <c r="I40" s="71"/>
    </row>
    <row r="41" spans="7:21" s="62" customFormat="1" ht="20.25" customHeight="1" x14ac:dyDescent="0.2"/>
    <row r="42" spans="7:21" s="62" customFormat="1" ht="20.25" customHeight="1" x14ac:dyDescent="0.2"/>
    <row r="43" spans="7:21" s="62" customFormat="1" ht="20.25" customHeight="1" x14ac:dyDescent="0.2"/>
    <row r="44" spans="7:21" s="29" customFormat="1" ht="20.25" customHeight="1" x14ac:dyDescent="0.2">
      <c r="L44" s="210"/>
    </row>
    <row r="45" spans="7:21" s="29" customFormat="1" ht="20.25" customHeight="1" x14ac:dyDescent="0.2">
      <c r="L45" s="210"/>
    </row>
    <row r="46" spans="7:21" s="29" customFormat="1" ht="20.25" customHeight="1" x14ac:dyDescent="0.2">
      <c r="L46" s="210"/>
    </row>
    <row r="47" spans="7:21" s="29" customFormat="1" ht="20.25" customHeight="1" x14ac:dyDescent="0.2">
      <c r="L47" s="210"/>
    </row>
    <row r="48" spans="7:21" s="29" customFormat="1" ht="20.25" customHeight="1" x14ac:dyDescent="0.2">
      <c r="L48" s="210"/>
    </row>
    <row r="49" spans="1:24" s="29" customFormat="1" ht="20.25" customHeight="1" x14ac:dyDescent="0.2">
      <c r="L49" s="210"/>
    </row>
    <row r="50" spans="1:24" ht="14.25" customHeight="1" x14ac:dyDescent="0.2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">
      <c r="A54" s="51"/>
      <c r="B54" s="51"/>
      <c r="C54" s="51"/>
      <c r="D54" s="51"/>
      <c r="E54" s="51"/>
      <c r="F54" s="51"/>
      <c r="M54" s="238"/>
      <c r="N54" s="238"/>
      <c r="O54" s="238"/>
      <c r="P54" s="238"/>
      <c r="Q54" s="238"/>
      <c r="R54" s="238"/>
      <c r="S54" s="238"/>
      <c r="T54" s="238"/>
      <c r="U54" s="238"/>
      <c r="V54" s="238"/>
      <c r="W54" s="238"/>
      <c r="X54" s="238"/>
    </row>
    <row r="55" spans="1:24" ht="23.25" x14ac:dyDescent="0.2">
      <c r="A55" s="51"/>
      <c r="B55" s="51"/>
      <c r="C55" s="51"/>
      <c r="D55" s="51"/>
      <c r="E55" s="51"/>
      <c r="F55" s="51"/>
      <c r="N55" s="124"/>
      <c r="O55" s="124"/>
      <c r="P55" s="124"/>
      <c r="Q55" s="124"/>
      <c r="R55" s="124"/>
      <c r="S55" s="67"/>
    </row>
    <row r="56" spans="1:24" ht="16.5" x14ac:dyDescent="0.25">
      <c r="A56" s="3"/>
      <c r="B56" s="3"/>
      <c r="C56" s="3"/>
      <c r="D56" s="3"/>
      <c r="N56" s="125"/>
      <c r="O56" s="129"/>
      <c r="P56" s="125"/>
      <c r="Q56" s="125"/>
      <c r="R56" s="37"/>
      <c r="S56" s="126"/>
    </row>
    <row r="57" spans="1:24" ht="16.5" x14ac:dyDescent="0.25">
      <c r="A57" s="3"/>
      <c r="B57" s="3"/>
      <c r="C57" s="3"/>
      <c r="D57" s="3"/>
      <c r="E57" s="3"/>
      <c r="N57" s="38"/>
      <c r="O57" s="454"/>
      <c r="P57" s="454"/>
      <c r="Q57" s="38"/>
      <c r="R57" s="319"/>
      <c r="S57" s="319"/>
    </row>
    <row r="58" spans="1:24" ht="16.5" x14ac:dyDescent="0.2">
      <c r="A58" s="3"/>
      <c r="B58" s="3"/>
      <c r="C58" s="3"/>
      <c r="D58" s="3"/>
      <c r="E58" s="3"/>
      <c r="N58" s="125"/>
      <c r="O58" s="125"/>
      <c r="P58" s="125"/>
      <c r="Q58" s="76"/>
      <c r="R58" s="39"/>
      <c r="S58" s="128"/>
    </row>
    <row r="59" spans="1:24" ht="16.5" x14ac:dyDescent="0.2">
      <c r="A59" s="3"/>
      <c r="B59" s="3"/>
      <c r="C59" s="3"/>
      <c r="D59" s="3"/>
      <c r="E59" s="3"/>
      <c r="N59" s="38"/>
      <c r="O59" s="125"/>
      <c r="P59" s="41"/>
      <c r="Q59" s="38"/>
      <c r="R59" s="125"/>
      <c r="S59" s="125"/>
    </row>
    <row r="60" spans="1:24" ht="16.5" x14ac:dyDescent="0.2">
      <c r="A60" s="3"/>
      <c r="B60" s="3"/>
      <c r="C60" s="3"/>
      <c r="D60" s="3"/>
      <c r="E60" s="3"/>
      <c r="N60" s="125"/>
      <c r="O60" s="125"/>
      <c r="P60" s="125"/>
      <c r="Q60" s="76"/>
      <c r="R60" s="125"/>
      <c r="S60" s="125"/>
    </row>
    <row r="61" spans="1:24" ht="16.5" x14ac:dyDescent="0.2">
      <c r="A61" s="3"/>
      <c r="B61" s="3"/>
      <c r="C61" s="3"/>
      <c r="D61" s="3"/>
      <c r="E61" s="3"/>
      <c r="N61" s="38"/>
      <c r="O61" s="317"/>
      <c r="P61" s="317"/>
      <c r="Q61" s="38"/>
      <c r="R61" s="317"/>
      <c r="S61" s="317"/>
    </row>
    <row r="62" spans="1:24" ht="16.5" x14ac:dyDescent="0.2">
      <c r="A62" s="3"/>
      <c r="B62" s="3"/>
      <c r="C62" s="3"/>
      <c r="D62" s="3"/>
      <c r="E62" s="3"/>
      <c r="N62" s="125"/>
      <c r="O62" s="125"/>
      <c r="P62" s="125"/>
      <c r="Q62" s="125"/>
      <c r="R62" s="125"/>
      <c r="S62" s="128"/>
    </row>
    <row r="63" spans="1:24" ht="16.5" x14ac:dyDescent="0.25">
      <c r="A63" s="3"/>
      <c r="B63" s="3"/>
      <c r="C63" s="3"/>
      <c r="D63" s="3"/>
      <c r="E63" s="3"/>
      <c r="N63" s="40"/>
      <c r="O63" s="126"/>
      <c r="P63" s="11"/>
      <c r="Q63" s="11"/>
      <c r="R63" s="11"/>
      <c r="S63" s="11"/>
    </row>
    <row r="64" spans="1:24" x14ac:dyDescent="0.2">
      <c r="A64" s="3"/>
      <c r="B64" s="3"/>
      <c r="C64" s="3"/>
      <c r="D64" s="3"/>
      <c r="E64" s="3"/>
      <c r="N64" s="128"/>
      <c r="O64" s="128"/>
      <c r="P64" s="128"/>
      <c r="Q64" s="128"/>
      <c r="R64" s="128"/>
      <c r="S64" s="128"/>
    </row>
    <row r="65" spans="1:23" s="20" customFormat="1" ht="15.75" x14ac:dyDescent="0.2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">
      <c r="A69" s="3"/>
      <c r="B69" s="3"/>
      <c r="C69" s="3"/>
      <c r="D69" s="3"/>
      <c r="E69" s="3"/>
      <c r="G69" s="29"/>
      <c r="H69" s="29"/>
      <c r="I69" s="29"/>
      <c r="J69" s="29"/>
      <c r="K69" s="29"/>
      <c r="L69" s="210"/>
      <c r="M69" s="210"/>
      <c r="N69" s="77"/>
      <c r="O69" s="44"/>
      <c r="P69" s="44"/>
      <c r="Q69" s="44"/>
      <c r="R69" s="64"/>
      <c r="S69" s="65"/>
    </row>
    <row r="70" spans="1:23" ht="18" customHeight="1" x14ac:dyDescent="0.2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">
      <c r="A72" s="3"/>
      <c r="B72" s="3"/>
      <c r="C72" s="3"/>
      <c r="D72" s="3"/>
      <c r="E72" s="3"/>
      <c r="N72" s="1"/>
      <c r="O72" s="127"/>
      <c r="P72" s="126"/>
      <c r="Q72" s="126"/>
      <c r="R72" s="126"/>
      <c r="S72" s="126"/>
    </row>
    <row r="73" spans="1:23" ht="18" customHeight="1" x14ac:dyDescent="0.2">
      <c r="A73" s="3"/>
      <c r="B73" s="3"/>
      <c r="C73" s="3"/>
      <c r="D73" s="3"/>
      <c r="E73" s="3"/>
      <c r="N73" s="1"/>
      <c r="O73" s="127"/>
      <c r="P73" s="126"/>
      <c r="Q73" s="126"/>
      <c r="R73" s="126"/>
      <c r="S73" s="126"/>
    </row>
    <row r="74" spans="1:23" ht="20.25" x14ac:dyDescent="0.2">
      <c r="A74" s="3"/>
      <c r="B74" s="3"/>
      <c r="C74" s="3"/>
      <c r="D74" s="3"/>
      <c r="E74" s="3"/>
      <c r="N74" s="126"/>
      <c r="O74" s="30"/>
      <c r="P74" s="439"/>
      <c r="Q74" s="439"/>
      <c r="R74" s="439"/>
      <c r="S74" s="439"/>
    </row>
    <row r="75" spans="1:23" ht="20.25" x14ac:dyDescent="0.2">
      <c r="A75" s="3"/>
      <c r="B75" s="3"/>
      <c r="C75" s="3"/>
      <c r="D75" s="3"/>
      <c r="E75" s="3"/>
      <c r="G75" s="384"/>
      <c r="H75" s="389"/>
      <c r="I75" s="23"/>
      <c r="J75" s="23"/>
      <c r="K75" s="47"/>
      <c r="L75" s="212"/>
      <c r="M75" s="212"/>
      <c r="N75" s="126"/>
      <c r="O75" s="126"/>
      <c r="P75" s="126"/>
      <c r="Q75" s="50"/>
      <c r="R75" s="50"/>
      <c r="S75" s="13"/>
    </row>
    <row r="76" spans="1:23" ht="18" x14ac:dyDescent="0.2">
      <c r="A76" s="3"/>
      <c r="B76" s="3"/>
      <c r="C76" s="3"/>
      <c r="D76" s="3"/>
      <c r="E76" s="3"/>
      <c r="G76" s="383"/>
      <c r="H76" s="383"/>
      <c r="I76" s="24"/>
      <c r="J76" s="24"/>
      <c r="K76" s="45"/>
      <c r="L76" s="211"/>
      <c r="M76" s="211"/>
    </row>
    <row r="77" spans="1:23" ht="18" x14ac:dyDescent="0.2">
      <c r="A77" s="3"/>
      <c r="B77" s="3"/>
      <c r="C77" s="3"/>
      <c r="D77" s="3"/>
      <c r="E77" s="3"/>
      <c r="G77" s="383"/>
      <c r="H77" s="383"/>
      <c r="I77" s="24"/>
      <c r="J77" s="24"/>
      <c r="K77" s="45"/>
      <c r="L77" s="211"/>
      <c r="M77" s="211"/>
    </row>
    <row r="78" spans="1:23" ht="18" x14ac:dyDescent="0.2">
      <c r="A78" s="3"/>
      <c r="B78" s="3"/>
      <c r="C78" s="3"/>
      <c r="D78" s="3"/>
      <c r="E78" s="3"/>
      <c r="G78" s="383"/>
      <c r="H78" s="383"/>
      <c r="I78" s="24"/>
      <c r="J78" s="24"/>
      <c r="K78" s="45"/>
      <c r="L78" s="211"/>
      <c r="M78" s="211"/>
    </row>
    <row r="79" spans="1:23" ht="18" x14ac:dyDescent="0.2">
      <c r="A79" s="3"/>
      <c r="B79" s="3"/>
      <c r="C79" s="3"/>
      <c r="D79" s="3"/>
      <c r="E79" s="3"/>
      <c r="G79" s="383"/>
      <c r="H79" s="383"/>
      <c r="I79" s="24"/>
      <c r="J79" s="24"/>
      <c r="K79" s="45"/>
      <c r="L79" s="211"/>
      <c r="M79" s="211"/>
    </row>
    <row r="80" spans="1:23" ht="18" x14ac:dyDescent="0.2">
      <c r="A80" s="3"/>
      <c r="B80" s="3"/>
      <c r="C80" s="3"/>
      <c r="D80" s="3"/>
      <c r="E80" s="3"/>
      <c r="G80" s="383"/>
      <c r="H80" s="383"/>
      <c r="I80" s="24"/>
      <c r="J80" s="24"/>
      <c r="K80" s="45"/>
      <c r="L80" s="211"/>
      <c r="M80" s="211"/>
    </row>
    <row r="81" spans="1:13" ht="18" x14ac:dyDescent="0.2">
      <c r="A81" s="3"/>
      <c r="B81" s="3"/>
      <c r="C81" s="3"/>
      <c r="D81" s="3"/>
      <c r="E81" s="3"/>
      <c r="G81" s="383"/>
      <c r="H81" s="383"/>
      <c r="I81" s="24"/>
      <c r="J81" s="24"/>
      <c r="K81" s="45"/>
      <c r="L81" s="211"/>
      <c r="M81" s="211"/>
    </row>
    <row r="82" spans="1:13" ht="18" x14ac:dyDescent="0.2">
      <c r="A82" s="3"/>
      <c r="B82" s="3"/>
      <c r="C82" s="3"/>
      <c r="D82" s="3"/>
      <c r="E82" s="3"/>
      <c r="G82" s="383"/>
      <c r="H82" s="383"/>
      <c r="I82" s="24"/>
      <c r="J82" s="24"/>
      <c r="K82" s="45"/>
      <c r="L82" s="211"/>
      <c r="M82" s="211"/>
    </row>
    <row r="83" spans="1:13" ht="18" x14ac:dyDescent="0.2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" x14ac:dyDescent="0.2">
      <c r="A84" s="3"/>
      <c r="B84" s="3"/>
      <c r="C84" s="3"/>
      <c r="D84" s="3"/>
      <c r="E84" s="3"/>
      <c r="G84" s="384"/>
      <c r="H84" s="384"/>
      <c r="I84" s="385"/>
      <c r="J84" s="19"/>
      <c r="K84" s="45"/>
      <c r="L84" s="211"/>
      <c r="M84" s="211"/>
    </row>
    <row r="85" spans="1:13" ht="18" x14ac:dyDescent="0.2">
      <c r="A85" s="3"/>
      <c r="B85" s="3"/>
      <c r="C85" s="3"/>
      <c r="D85" s="3"/>
      <c r="E85" s="3"/>
      <c r="G85" s="384"/>
      <c r="H85" s="384"/>
      <c r="I85" s="383"/>
      <c r="J85" s="19"/>
      <c r="K85" s="45"/>
      <c r="L85" s="211"/>
      <c r="M85" s="211"/>
    </row>
    <row r="86" spans="1:13" ht="18" x14ac:dyDescent="0.2">
      <c r="G86" s="383"/>
      <c r="H86" s="383"/>
      <c r="I86" s="19"/>
      <c r="J86" s="19"/>
      <c r="K86" s="45"/>
      <c r="L86" s="211"/>
      <c r="M86" s="211"/>
    </row>
    <row r="87" spans="1:13" ht="18" x14ac:dyDescent="0.2">
      <c r="G87" s="384"/>
      <c r="H87" s="384"/>
      <c r="I87" s="385"/>
      <c r="J87" s="19"/>
      <c r="K87" s="45"/>
      <c r="L87" s="211"/>
      <c r="M87" s="211"/>
    </row>
    <row r="88" spans="1:13" ht="18" x14ac:dyDescent="0.2">
      <c r="G88" s="384"/>
      <c r="H88" s="384"/>
      <c r="I88" s="383"/>
      <c r="J88" s="19"/>
      <c r="K88" s="45"/>
      <c r="L88" s="211"/>
      <c r="M88" s="211"/>
    </row>
    <row r="89" spans="1:13" s="12" customFormat="1" x14ac:dyDescent="0.2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">
      <c r="G91" s="11"/>
      <c r="H91" s="11"/>
      <c r="I91" s="11"/>
      <c r="J91" s="11"/>
      <c r="K91" s="11"/>
      <c r="L91" s="11"/>
      <c r="M91" s="11"/>
    </row>
    <row r="92" spans="1:13" x14ac:dyDescent="0.2">
      <c r="G92" s="11"/>
      <c r="H92" s="11"/>
      <c r="I92" s="11"/>
      <c r="J92" s="11"/>
      <c r="K92" s="11"/>
      <c r="L92" s="11"/>
      <c r="M92" s="11"/>
    </row>
  </sheetData>
  <sheetProtection algorithmName="SHA-512" hashValue="5FSddU4VFs6u0dVTccbnPD2x84FhVLcBA5tc4R/oFfgFEx2CRRvEz95Vtr4c3QN6VgRGLEyaUpKhH/JBz55ZDQ==" saltValue="xvBQvIc+dMXHy9WsMxrtXQ==" spinCount="100000" sheet="1" objects="1" scenarios="1"/>
  <mergeCells count="91">
    <mergeCell ref="Q4:S5"/>
    <mergeCell ref="Q6:Q7"/>
    <mergeCell ref="M9:S9"/>
    <mergeCell ref="M10:S10"/>
    <mergeCell ref="M32:N32"/>
    <mergeCell ref="M26:N26"/>
    <mergeCell ref="O20:O21"/>
    <mergeCell ref="P20:P21"/>
    <mergeCell ref="Q20:Q21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topLeftCell="K3" zoomScaleNormal="100" workbookViewId="0">
      <selection activeCell="AM14" sqref="AM14"/>
    </sheetView>
  </sheetViews>
  <sheetFormatPr defaultColWidth="8.75" defaultRowHeight="18" x14ac:dyDescent="0.25"/>
  <cols>
    <col min="1" max="1" width="5.5" style="91" customWidth="1"/>
    <col min="2" max="2" width="17.875" style="91" customWidth="1"/>
    <col min="3" max="3" width="15.5" style="108" customWidth="1"/>
    <col min="4" max="4" width="18.5" style="91" customWidth="1"/>
    <col min="5" max="5" width="16.5" style="91" customWidth="1"/>
    <col min="6" max="6" width="19.625" style="91" customWidth="1"/>
    <col min="7" max="7" width="3.5" style="91" customWidth="1"/>
    <col min="8" max="8" width="4.75" style="91" customWidth="1"/>
    <col min="9" max="9" width="16.875" style="91" customWidth="1"/>
    <col min="10" max="10" width="18.25" style="91" bestFit="1" customWidth="1"/>
    <col min="11" max="11" width="15.25" style="91" customWidth="1"/>
    <col min="12" max="12" width="14.25" style="91" customWidth="1"/>
    <col min="13" max="13" width="19.5" style="91" customWidth="1"/>
    <col min="14" max="14" width="3.125" style="91" customWidth="1"/>
    <col min="15" max="15" width="4.875" style="91" customWidth="1"/>
    <col min="16" max="16" width="15" style="91" customWidth="1"/>
    <col min="17" max="17" width="14.25" style="91" customWidth="1"/>
    <col min="18" max="18" width="15" style="91" customWidth="1"/>
    <col min="19" max="19" width="17.375" style="91" customWidth="1"/>
    <col min="20" max="20" width="19.5" style="91" customWidth="1"/>
    <col min="21" max="21" width="3.75" style="91" customWidth="1"/>
    <col min="22" max="22" width="4.625" style="91" customWidth="1"/>
    <col min="23" max="23" width="13.5" style="91" customWidth="1"/>
    <col min="24" max="24" width="14.5" style="91" customWidth="1"/>
    <col min="25" max="25" width="13.5" style="91" customWidth="1"/>
    <col min="26" max="26" width="12.875" style="91" customWidth="1"/>
    <col min="27" max="27" width="18" style="91" customWidth="1"/>
    <col min="28" max="28" width="2.75" style="91" customWidth="1"/>
    <col min="29" max="29" width="5.5" style="91" customWidth="1"/>
    <col min="30" max="30" width="14.25" style="91" customWidth="1"/>
    <col min="31" max="31" width="13.125" style="91" customWidth="1"/>
    <col min="32" max="32" width="14.125" style="91" customWidth="1"/>
    <col min="33" max="33" width="11.5" style="91" customWidth="1"/>
    <col min="34" max="34" width="16.5" style="91" customWidth="1"/>
    <col min="35" max="35" width="2.75" style="91" customWidth="1"/>
    <col min="36" max="36" width="6.5" style="91" customWidth="1"/>
    <col min="37" max="40" width="13.5" style="91" customWidth="1"/>
    <col min="41" max="41" width="17" style="91" customWidth="1"/>
    <col min="42" max="16384" width="8.75" style="91"/>
  </cols>
  <sheetData>
    <row r="1" spans="1:41" s="105" customFormat="1" ht="24" customHeight="1" x14ac:dyDescent="0.2">
      <c r="A1" s="112" t="s">
        <v>54</v>
      </c>
      <c r="B1" s="191"/>
      <c r="C1" s="473"/>
      <c r="D1" s="473"/>
      <c r="E1" s="473"/>
      <c r="F1" s="473"/>
      <c r="G1" s="93"/>
      <c r="H1" s="112" t="s">
        <v>54</v>
      </c>
      <c r="I1" s="473" t="s">
        <v>58</v>
      </c>
      <c r="J1" s="473"/>
      <c r="K1" s="473"/>
      <c r="L1" s="473"/>
      <c r="M1" s="473"/>
      <c r="N1" s="93"/>
      <c r="O1" s="112" t="s">
        <v>54</v>
      </c>
      <c r="P1" s="473" t="s">
        <v>105</v>
      </c>
      <c r="Q1" s="473"/>
      <c r="R1" s="473"/>
      <c r="S1" s="473"/>
      <c r="T1" s="473"/>
      <c r="U1" s="93"/>
      <c r="V1" s="112" t="s">
        <v>54</v>
      </c>
      <c r="W1" s="473" t="s">
        <v>106</v>
      </c>
      <c r="X1" s="473"/>
      <c r="Y1" s="473"/>
      <c r="Z1" s="473"/>
      <c r="AA1" s="473"/>
      <c r="AB1" s="93"/>
      <c r="AC1" s="112" t="s">
        <v>54</v>
      </c>
      <c r="AD1" s="473" t="s">
        <v>107</v>
      </c>
      <c r="AE1" s="473"/>
      <c r="AF1" s="473"/>
      <c r="AG1" s="473"/>
      <c r="AH1" s="473"/>
      <c r="AI1" s="93"/>
      <c r="AJ1" s="112" t="s">
        <v>54</v>
      </c>
      <c r="AK1" s="473" t="s">
        <v>193</v>
      </c>
      <c r="AL1" s="473"/>
      <c r="AM1" s="473"/>
      <c r="AN1" s="473"/>
      <c r="AO1" s="473"/>
    </row>
    <row r="2" spans="1:41" s="108" customFormat="1" ht="24" customHeight="1" x14ac:dyDescent="0.25">
      <c r="A2" s="189"/>
      <c r="B2" s="110" t="s">
        <v>127</v>
      </c>
      <c r="C2" s="110" t="s">
        <v>128</v>
      </c>
      <c r="D2" s="110" t="s">
        <v>129</v>
      </c>
      <c r="E2" s="110" t="s">
        <v>130</v>
      </c>
      <c r="F2" s="110" t="s">
        <v>131</v>
      </c>
      <c r="G2" s="107"/>
      <c r="H2" s="106"/>
      <c r="I2" s="110" t="s">
        <v>132</v>
      </c>
      <c r="J2" s="110" t="s">
        <v>133</v>
      </c>
      <c r="K2" s="110" t="s">
        <v>134</v>
      </c>
      <c r="L2" s="110" t="s">
        <v>135</v>
      </c>
      <c r="M2" s="110" t="s">
        <v>136</v>
      </c>
      <c r="N2" s="107"/>
      <c r="O2" s="106"/>
      <c r="P2" s="110" t="s">
        <v>137</v>
      </c>
      <c r="Q2" s="110" t="s">
        <v>138</v>
      </c>
      <c r="R2" s="110" t="s">
        <v>139</v>
      </c>
      <c r="S2" s="110" t="s">
        <v>140</v>
      </c>
      <c r="T2" s="110" t="s">
        <v>141</v>
      </c>
      <c r="U2" s="107"/>
      <c r="V2" s="106"/>
      <c r="W2" s="110" t="s">
        <v>142</v>
      </c>
      <c r="X2" s="110" t="s">
        <v>143</v>
      </c>
      <c r="Y2" s="110" t="s">
        <v>144</v>
      </c>
      <c r="Z2" s="110" t="s">
        <v>145</v>
      </c>
      <c r="AA2" s="110" t="s">
        <v>146</v>
      </c>
      <c r="AB2" s="107"/>
      <c r="AC2" s="106"/>
      <c r="AD2" s="110" t="s">
        <v>147</v>
      </c>
      <c r="AE2" s="110" t="s">
        <v>148</v>
      </c>
      <c r="AF2" s="109" t="s">
        <v>149</v>
      </c>
      <c r="AG2" s="109" t="s">
        <v>150</v>
      </c>
      <c r="AH2" s="109" t="s">
        <v>151</v>
      </c>
      <c r="AI2" s="107"/>
      <c r="AK2" s="171" t="s">
        <v>192</v>
      </c>
      <c r="AL2" s="171" t="s">
        <v>197</v>
      </c>
      <c r="AM2" s="171" t="s">
        <v>198</v>
      </c>
      <c r="AN2" s="171" t="s">
        <v>199</v>
      </c>
      <c r="AO2" s="171" t="s">
        <v>200</v>
      </c>
    </row>
    <row r="3" spans="1:41" s="185" customFormat="1" x14ac:dyDescent="0.2">
      <c r="A3" s="199">
        <v>1</v>
      </c>
      <c r="B3" s="200"/>
      <c r="C3" s="92" t="s">
        <v>360</v>
      </c>
      <c r="D3" s="92" t="s">
        <v>126</v>
      </c>
      <c r="E3" s="197" t="s">
        <v>219</v>
      </c>
      <c r="F3" s="111" t="s">
        <v>335</v>
      </c>
      <c r="G3" s="90"/>
      <c r="H3" s="185">
        <v>1</v>
      </c>
      <c r="I3" s="92" t="s">
        <v>327</v>
      </c>
      <c r="J3" s="92" t="s">
        <v>97</v>
      </c>
      <c r="K3" s="92" t="s">
        <v>101</v>
      </c>
      <c r="L3" s="92" t="s">
        <v>95</v>
      </c>
      <c r="M3" s="92" t="s">
        <v>100</v>
      </c>
      <c r="N3" s="90"/>
      <c r="O3" s="185">
        <v>1</v>
      </c>
      <c r="P3" s="92" t="s">
        <v>110</v>
      </c>
      <c r="Q3" s="92" t="s">
        <v>110</v>
      </c>
      <c r="R3" s="92" t="s">
        <v>112</v>
      </c>
      <c r="S3" s="92" t="s">
        <v>115</v>
      </c>
      <c r="T3" s="92" t="s">
        <v>108</v>
      </c>
      <c r="U3" s="90"/>
      <c r="V3" s="185">
        <v>1</v>
      </c>
      <c r="W3" s="92" t="s">
        <v>334</v>
      </c>
      <c r="X3" s="197" t="s">
        <v>331</v>
      </c>
      <c r="Y3" s="92" t="s">
        <v>122</v>
      </c>
      <c r="Z3" s="92" t="s">
        <v>117</v>
      </c>
      <c r="AA3" s="92" t="s">
        <v>119</v>
      </c>
      <c r="AB3" s="90"/>
      <c r="AC3" s="185">
        <v>1</v>
      </c>
      <c r="AD3" s="197" t="s">
        <v>236</v>
      </c>
      <c r="AE3" s="92" t="s">
        <v>125</v>
      </c>
      <c r="AF3" s="186"/>
      <c r="AG3" s="186" t="s">
        <v>230</v>
      </c>
      <c r="AH3" s="186"/>
      <c r="AI3" s="90"/>
      <c r="AJ3" s="185">
        <v>1</v>
      </c>
      <c r="AK3" s="197" t="s">
        <v>201</v>
      </c>
      <c r="AL3" s="92" t="s">
        <v>360</v>
      </c>
      <c r="AM3" s="197"/>
      <c r="AN3" s="197"/>
      <c r="AO3" s="197"/>
    </row>
    <row r="4" spans="1:41" s="185" customFormat="1" x14ac:dyDescent="0.2">
      <c r="A4" s="199">
        <v>2</v>
      </c>
      <c r="B4" s="185" t="s">
        <v>355</v>
      </c>
      <c r="C4" s="197" t="s">
        <v>233</v>
      </c>
      <c r="D4" s="92" t="s">
        <v>83</v>
      </c>
      <c r="E4" s="92" t="s">
        <v>90</v>
      </c>
      <c r="F4" s="111" t="s">
        <v>336</v>
      </c>
      <c r="G4" s="90"/>
      <c r="H4" s="185">
        <v>2</v>
      </c>
      <c r="I4" s="92" t="s">
        <v>361</v>
      </c>
      <c r="J4" s="197" t="s">
        <v>327</v>
      </c>
      <c r="K4" s="92" t="s">
        <v>103</v>
      </c>
      <c r="L4" s="92" t="s">
        <v>94</v>
      </c>
      <c r="M4" s="197" t="s">
        <v>318</v>
      </c>
      <c r="N4" s="90"/>
      <c r="O4" s="185">
        <v>2</v>
      </c>
      <c r="P4" s="92" t="s">
        <v>111</v>
      </c>
      <c r="Q4" s="197" t="s">
        <v>362</v>
      </c>
      <c r="R4" s="197"/>
      <c r="S4" s="92" t="s">
        <v>116</v>
      </c>
      <c r="T4" s="197" t="s">
        <v>307</v>
      </c>
      <c r="U4" s="90"/>
      <c r="V4" s="185">
        <v>2</v>
      </c>
      <c r="W4" s="92" t="s">
        <v>331</v>
      </c>
      <c r="X4" s="197" t="s">
        <v>366</v>
      </c>
      <c r="Y4" s="197" t="s">
        <v>218</v>
      </c>
      <c r="Z4" s="197" t="s">
        <v>235</v>
      </c>
      <c r="AA4" s="197"/>
      <c r="AB4" s="90"/>
      <c r="AC4" s="185">
        <v>2</v>
      </c>
      <c r="AD4" s="92" t="s">
        <v>123</v>
      </c>
      <c r="AE4" s="197" t="s">
        <v>320</v>
      </c>
      <c r="AF4" s="188" t="s">
        <v>238</v>
      </c>
      <c r="AG4" s="197"/>
      <c r="AH4" s="188" t="s">
        <v>238</v>
      </c>
      <c r="AI4" s="90"/>
      <c r="AJ4" s="185">
        <v>2</v>
      </c>
      <c r="AK4" s="197"/>
      <c r="AL4" s="197" t="s">
        <v>233</v>
      </c>
      <c r="AM4" s="197"/>
      <c r="AN4" s="197"/>
      <c r="AO4" s="197"/>
    </row>
    <row r="5" spans="1:41" s="185" customFormat="1" x14ac:dyDescent="0.2">
      <c r="A5" s="199">
        <v>3</v>
      </c>
      <c r="B5" s="188" t="s">
        <v>342</v>
      </c>
      <c r="C5" s="197" t="s">
        <v>232</v>
      </c>
      <c r="D5" s="92" t="s">
        <v>84</v>
      </c>
      <c r="E5" s="92" t="s">
        <v>91</v>
      </c>
      <c r="F5" s="111" t="s">
        <v>337</v>
      </c>
      <c r="G5" s="90"/>
      <c r="H5" s="185">
        <v>3</v>
      </c>
      <c r="I5" s="92" t="s">
        <v>328</v>
      </c>
      <c r="J5" s="92" t="s">
        <v>99</v>
      </c>
      <c r="K5" s="92" t="s">
        <v>102</v>
      </c>
      <c r="L5" s="92" t="s">
        <v>93</v>
      </c>
      <c r="M5" s="92" t="s">
        <v>319</v>
      </c>
      <c r="N5" s="90"/>
      <c r="O5" s="185">
        <v>3</v>
      </c>
      <c r="P5" s="92" t="s">
        <v>330</v>
      </c>
      <c r="Q5" s="92" t="s">
        <v>108</v>
      </c>
      <c r="R5" s="188" t="s">
        <v>238</v>
      </c>
      <c r="S5" s="197" t="s">
        <v>229</v>
      </c>
      <c r="T5" s="188"/>
      <c r="U5" s="90"/>
      <c r="V5" s="185">
        <v>3</v>
      </c>
      <c r="W5" s="92" t="s">
        <v>332</v>
      </c>
      <c r="X5" s="92" t="s">
        <v>332</v>
      </c>
      <c r="Y5" s="197" t="s">
        <v>309</v>
      </c>
      <c r="Z5" s="197" t="s">
        <v>228</v>
      </c>
      <c r="AA5" s="188" t="s">
        <v>238</v>
      </c>
      <c r="AB5" s="90"/>
      <c r="AC5" s="185">
        <v>3</v>
      </c>
      <c r="AD5" s="92" t="s">
        <v>124</v>
      </c>
      <c r="AE5" s="188" t="s">
        <v>321</v>
      </c>
      <c r="AF5" s="197"/>
      <c r="AG5" s="188" t="s">
        <v>238</v>
      </c>
      <c r="AH5" s="197"/>
      <c r="AI5" s="90"/>
      <c r="AJ5" s="185">
        <v>3</v>
      </c>
      <c r="AK5" s="188" t="s">
        <v>238</v>
      </c>
      <c r="AL5" s="197" t="s">
        <v>322</v>
      </c>
      <c r="AM5" s="188" t="s">
        <v>238</v>
      </c>
      <c r="AN5" s="188" t="s">
        <v>238</v>
      </c>
      <c r="AO5" s="188" t="s">
        <v>238</v>
      </c>
    </row>
    <row r="6" spans="1:41" s="185" customFormat="1" x14ac:dyDescent="0.2">
      <c r="A6" s="199">
        <v>4</v>
      </c>
      <c r="B6" s="185" t="s">
        <v>324</v>
      </c>
      <c r="C6" s="197" t="s">
        <v>322</v>
      </c>
      <c r="D6" s="92" t="s">
        <v>82</v>
      </c>
      <c r="E6" s="92" t="s">
        <v>87</v>
      </c>
      <c r="F6" s="111" t="s">
        <v>307</v>
      </c>
      <c r="G6" s="90"/>
      <c r="H6" s="185">
        <v>4</v>
      </c>
      <c r="I6" s="92" t="s">
        <v>100</v>
      </c>
      <c r="J6" s="92" t="s">
        <v>318</v>
      </c>
      <c r="K6" s="92" t="s">
        <v>104</v>
      </c>
      <c r="L6" s="197"/>
      <c r="M6" s="197" t="s">
        <v>307</v>
      </c>
      <c r="N6" s="90"/>
      <c r="O6" s="185">
        <v>4</v>
      </c>
      <c r="P6" s="92"/>
      <c r="Q6" s="92" t="s">
        <v>111</v>
      </c>
      <c r="R6" s="197"/>
      <c r="S6" s="92" t="s">
        <v>114</v>
      </c>
      <c r="T6" s="197"/>
      <c r="U6" s="90"/>
      <c r="V6" s="185">
        <v>4</v>
      </c>
      <c r="W6" s="197" t="s">
        <v>333</v>
      </c>
      <c r="X6" s="92" t="s">
        <v>121</v>
      </c>
      <c r="Y6" s="188"/>
      <c r="Z6" s="197"/>
      <c r="AA6" s="197"/>
      <c r="AB6" s="90"/>
      <c r="AC6" s="185">
        <v>4</v>
      </c>
      <c r="AD6" s="197" t="s">
        <v>272</v>
      </c>
      <c r="AE6" s="197" t="s">
        <v>307</v>
      </c>
      <c r="AF6" s="197"/>
      <c r="AG6" s="197"/>
      <c r="AH6" s="197"/>
      <c r="AI6" s="90"/>
      <c r="AJ6" s="185">
        <v>4</v>
      </c>
      <c r="AK6" s="197"/>
      <c r="AL6" s="197" t="s">
        <v>359</v>
      </c>
      <c r="AM6" s="197"/>
      <c r="AN6" s="197"/>
      <c r="AO6" s="197"/>
    </row>
    <row r="7" spans="1:41" s="185" customFormat="1" x14ac:dyDescent="0.2">
      <c r="A7" s="199">
        <v>5</v>
      </c>
      <c r="B7" s="200"/>
      <c r="C7" s="92" t="s">
        <v>231</v>
      </c>
      <c r="D7" s="92" t="s">
        <v>81</v>
      </c>
      <c r="E7" s="197" t="s">
        <v>226</v>
      </c>
      <c r="F7" s="111"/>
      <c r="G7" s="90"/>
      <c r="H7" s="185">
        <v>5</v>
      </c>
      <c r="I7" s="92" t="s">
        <v>341</v>
      </c>
      <c r="J7" s="92" t="s">
        <v>98</v>
      </c>
      <c r="K7" s="92" t="s">
        <v>308</v>
      </c>
      <c r="L7" s="188" t="s">
        <v>238</v>
      </c>
      <c r="M7" s="197"/>
      <c r="N7" s="90"/>
      <c r="O7" s="185">
        <v>5</v>
      </c>
      <c r="P7" s="92"/>
      <c r="Q7" s="197" t="s">
        <v>329</v>
      </c>
      <c r="R7" s="197"/>
      <c r="S7" s="92" t="s">
        <v>113</v>
      </c>
      <c r="T7" s="197"/>
      <c r="U7" s="90"/>
      <c r="V7" s="185">
        <v>5</v>
      </c>
      <c r="W7" s="92" t="s">
        <v>339</v>
      </c>
      <c r="X7" s="92" t="s">
        <v>120</v>
      </c>
      <c r="Y7" s="197"/>
      <c r="Z7" s="188" t="s">
        <v>238</v>
      </c>
      <c r="AA7" s="197"/>
      <c r="AB7" s="90"/>
      <c r="AC7" s="185">
        <v>5</v>
      </c>
      <c r="AD7" s="188" t="s">
        <v>305</v>
      </c>
      <c r="AE7" s="197"/>
      <c r="AF7" s="197"/>
      <c r="AG7" s="197"/>
      <c r="AH7" s="197"/>
      <c r="AI7" s="90"/>
      <c r="AJ7" s="185">
        <v>5</v>
      </c>
      <c r="AK7" s="197"/>
      <c r="AL7" s="197" t="s">
        <v>323</v>
      </c>
      <c r="AM7" s="197"/>
      <c r="AN7" s="197"/>
      <c r="AO7" s="197"/>
    </row>
    <row r="8" spans="1:41" s="185" customFormat="1" x14ac:dyDescent="0.2">
      <c r="A8" s="199">
        <v>6</v>
      </c>
      <c r="C8" s="197" t="s">
        <v>78</v>
      </c>
      <c r="D8" s="201" t="s">
        <v>154</v>
      </c>
      <c r="E8" s="197" t="s">
        <v>225</v>
      </c>
      <c r="F8" s="111"/>
      <c r="G8" s="90"/>
      <c r="H8" s="185">
        <v>6</v>
      </c>
      <c r="I8" s="92" t="s">
        <v>364</v>
      </c>
      <c r="J8" s="197" t="s">
        <v>234</v>
      </c>
      <c r="K8" s="188"/>
      <c r="L8" s="197"/>
      <c r="M8" s="197"/>
      <c r="N8" s="90"/>
      <c r="O8" s="185">
        <v>6</v>
      </c>
      <c r="P8" s="92"/>
      <c r="Q8" s="188" t="s">
        <v>330</v>
      </c>
      <c r="R8" s="197"/>
      <c r="S8" s="197"/>
      <c r="T8" s="197"/>
      <c r="U8" s="90"/>
      <c r="V8" s="185">
        <v>6</v>
      </c>
      <c r="W8" s="197"/>
      <c r="X8" s="197" t="s">
        <v>333</v>
      </c>
      <c r="Y8" s="197"/>
      <c r="Z8" s="197"/>
      <c r="AA8" s="197"/>
      <c r="AB8" s="90"/>
      <c r="AC8" s="185">
        <v>6</v>
      </c>
      <c r="AD8" s="197" t="s">
        <v>306</v>
      </c>
      <c r="AE8" s="197"/>
      <c r="AF8" s="197"/>
      <c r="AG8" s="197"/>
      <c r="AH8" s="197"/>
      <c r="AI8" s="90"/>
      <c r="AJ8" s="185">
        <v>6</v>
      </c>
      <c r="AK8" s="197"/>
      <c r="AL8" s="197" t="s">
        <v>340</v>
      </c>
      <c r="AM8" s="197"/>
      <c r="AN8" s="197"/>
      <c r="AO8" s="197"/>
    </row>
    <row r="9" spans="1:41" s="185" customFormat="1" x14ac:dyDescent="0.2">
      <c r="A9" s="199">
        <v>7</v>
      </c>
      <c r="B9" s="200"/>
      <c r="C9" s="197" t="s">
        <v>323</v>
      </c>
      <c r="D9" s="201" t="s">
        <v>308</v>
      </c>
      <c r="E9" s="197" t="s">
        <v>227</v>
      </c>
      <c r="F9" s="202"/>
      <c r="G9" s="90"/>
      <c r="H9" s="185">
        <v>7</v>
      </c>
      <c r="I9" s="92"/>
      <c r="J9" s="197" t="s">
        <v>364</v>
      </c>
      <c r="K9" s="197"/>
      <c r="L9" s="197"/>
      <c r="M9" s="197"/>
      <c r="N9" s="90"/>
      <c r="O9" s="185">
        <v>7</v>
      </c>
      <c r="P9" s="92"/>
      <c r="Q9" s="197"/>
      <c r="R9" s="197"/>
      <c r="S9" s="188" t="s">
        <v>238</v>
      </c>
      <c r="T9" s="197"/>
      <c r="U9" s="90"/>
      <c r="V9" s="185">
        <v>7</v>
      </c>
      <c r="W9" s="92"/>
      <c r="X9" s="188" t="s">
        <v>339</v>
      </c>
      <c r="Y9" s="197"/>
      <c r="Z9" s="197"/>
      <c r="AA9" s="197"/>
      <c r="AB9" s="90"/>
      <c r="AC9" s="185">
        <v>7</v>
      </c>
      <c r="AD9" s="197" t="s">
        <v>307</v>
      </c>
      <c r="AE9" s="197"/>
      <c r="AF9" s="197"/>
      <c r="AG9" s="197"/>
      <c r="AH9" s="197"/>
      <c r="AI9" s="90"/>
      <c r="AJ9" s="185">
        <v>7</v>
      </c>
      <c r="AK9" s="197"/>
      <c r="AL9" s="92" t="s">
        <v>80</v>
      </c>
      <c r="AM9" s="197"/>
      <c r="AN9" s="197"/>
      <c r="AO9" s="197"/>
    </row>
    <row r="10" spans="1:41" s="185" customFormat="1" x14ac:dyDescent="0.2">
      <c r="A10" s="199">
        <v>8</v>
      </c>
      <c r="B10" s="188"/>
      <c r="C10" s="197" t="s">
        <v>79</v>
      </c>
      <c r="D10" s="188"/>
      <c r="E10" s="92" t="s">
        <v>86</v>
      </c>
      <c r="F10" s="188"/>
      <c r="G10" s="90"/>
      <c r="H10" s="185">
        <v>8</v>
      </c>
      <c r="I10" s="92"/>
      <c r="J10" s="92" t="s">
        <v>338</v>
      </c>
      <c r="K10" s="197"/>
      <c r="L10" s="197"/>
      <c r="M10" s="197"/>
      <c r="N10" s="90"/>
      <c r="O10" s="185">
        <v>8</v>
      </c>
      <c r="P10" s="92"/>
      <c r="Q10" s="197"/>
      <c r="R10" s="197"/>
      <c r="S10" s="197"/>
      <c r="T10" s="197"/>
      <c r="U10" s="90"/>
      <c r="V10" s="185">
        <v>8</v>
      </c>
      <c r="W10" s="92"/>
      <c r="X10" s="197"/>
      <c r="Y10" s="197"/>
      <c r="Z10" s="197"/>
      <c r="AA10" s="197"/>
      <c r="AB10" s="90"/>
      <c r="AC10" s="185">
        <v>8</v>
      </c>
      <c r="AD10" s="197"/>
      <c r="AE10" s="197"/>
      <c r="AF10" s="197"/>
      <c r="AG10" s="197"/>
      <c r="AH10" s="197"/>
      <c r="AI10" s="90"/>
      <c r="AJ10" s="185">
        <v>8</v>
      </c>
      <c r="AK10" s="197"/>
      <c r="AL10" s="197" t="s">
        <v>324</v>
      </c>
      <c r="AM10" s="197"/>
      <c r="AN10" s="197"/>
      <c r="AO10" s="197"/>
    </row>
    <row r="11" spans="1:41" s="185" customFormat="1" x14ac:dyDescent="0.2">
      <c r="A11" s="199">
        <v>9</v>
      </c>
      <c r="B11" s="188"/>
      <c r="C11" s="92" t="s">
        <v>359</v>
      </c>
      <c r="D11" s="201"/>
      <c r="E11" s="92" t="s">
        <v>92</v>
      </c>
      <c r="F11" s="202"/>
      <c r="G11" s="90"/>
      <c r="H11" s="185">
        <v>9</v>
      </c>
      <c r="I11" s="92"/>
      <c r="J11" s="197" t="s">
        <v>341</v>
      </c>
      <c r="K11" s="197" t="s">
        <v>307</v>
      </c>
      <c r="L11" s="197"/>
      <c r="M11" s="197"/>
      <c r="N11" s="90"/>
      <c r="O11" s="185">
        <v>9</v>
      </c>
      <c r="P11" s="92"/>
      <c r="Q11" s="197"/>
      <c r="R11" s="197"/>
      <c r="S11" s="197"/>
      <c r="T11" s="197"/>
      <c r="U11" s="90"/>
      <c r="V11" s="185">
        <v>9</v>
      </c>
      <c r="W11" s="92"/>
      <c r="X11" s="197"/>
      <c r="Y11" s="197"/>
      <c r="Z11" s="197"/>
      <c r="AA11" s="197"/>
      <c r="AB11" s="90"/>
      <c r="AC11" s="185">
        <v>9</v>
      </c>
      <c r="AD11" s="197"/>
      <c r="AE11" s="197"/>
      <c r="AF11" s="197"/>
      <c r="AG11" s="197"/>
      <c r="AH11" s="197"/>
      <c r="AI11" s="90"/>
      <c r="AJ11" s="185">
        <v>9</v>
      </c>
      <c r="AK11" s="197"/>
      <c r="AL11" s="92" t="s">
        <v>325</v>
      </c>
      <c r="AM11" s="198"/>
      <c r="AN11" s="198"/>
      <c r="AO11" s="198"/>
    </row>
    <row r="12" spans="1:41" s="185" customFormat="1" x14ac:dyDescent="0.2">
      <c r="A12" s="199">
        <v>10</v>
      </c>
      <c r="B12" s="188"/>
      <c r="C12" s="92" t="s">
        <v>363</v>
      </c>
      <c r="D12" s="201"/>
      <c r="E12" s="92" t="s">
        <v>88</v>
      </c>
      <c r="F12" s="202"/>
      <c r="G12" s="90"/>
      <c r="H12" s="185">
        <v>10</v>
      </c>
      <c r="I12" s="92"/>
      <c r="J12" s="92" t="s">
        <v>100</v>
      </c>
      <c r="K12" s="197"/>
      <c r="L12" s="197"/>
      <c r="M12" s="197"/>
      <c r="N12" s="90"/>
      <c r="O12" s="185">
        <v>10</v>
      </c>
      <c r="P12" s="92"/>
      <c r="Q12" s="197" t="s">
        <v>307</v>
      </c>
      <c r="R12" s="197"/>
      <c r="S12" s="197"/>
      <c r="T12" s="197"/>
      <c r="U12" s="90"/>
      <c r="V12" s="185">
        <v>10</v>
      </c>
      <c r="W12" s="197"/>
      <c r="X12" s="197"/>
      <c r="Y12" s="197" t="s">
        <v>307</v>
      </c>
      <c r="Z12" s="197"/>
      <c r="AA12" s="197"/>
      <c r="AB12" s="90"/>
      <c r="AC12" s="185">
        <v>10</v>
      </c>
      <c r="AD12" s="197"/>
      <c r="AE12" s="197"/>
      <c r="AF12" s="197"/>
      <c r="AG12" s="197"/>
      <c r="AH12" s="197"/>
      <c r="AI12" s="90"/>
      <c r="AJ12" s="185">
        <v>10</v>
      </c>
      <c r="AK12" s="198"/>
      <c r="AL12" s="197" t="s">
        <v>326</v>
      </c>
    </row>
    <row r="13" spans="1:41" s="185" customFormat="1" x14ac:dyDescent="0.2">
      <c r="A13" s="199">
        <v>11</v>
      </c>
      <c r="B13" s="200"/>
      <c r="C13" s="197" t="s">
        <v>355</v>
      </c>
      <c r="D13" s="201" t="s">
        <v>307</v>
      </c>
      <c r="E13" s="197" t="s">
        <v>224</v>
      </c>
      <c r="F13" s="202"/>
      <c r="G13" s="90"/>
      <c r="H13" s="185">
        <v>11</v>
      </c>
      <c r="I13" s="92"/>
      <c r="J13" s="197" t="s">
        <v>365</v>
      </c>
      <c r="K13" s="197"/>
      <c r="L13" s="197"/>
      <c r="M13" s="197"/>
      <c r="N13" s="90"/>
      <c r="O13" s="185">
        <v>11</v>
      </c>
      <c r="P13" s="92"/>
      <c r="Q13" s="197"/>
      <c r="R13" s="197"/>
      <c r="S13" s="197"/>
      <c r="T13" s="197"/>
      <c r="U13" s="90"/>
      <c r="V13" s="185">
        <v>11</v>
      </c>
      <c r="W13" s="188"/>
      <c r="X13" s="197" t="s">
        <v>307</v>
      </c>
      <c r="Y13" s="197"/>
      <c r="Z13" s="197"/>
      <c r="AA13" s="197"/>
      <c r="AB13" s="90"/>
      <c r="AC13" s="185">
        <v>11</v>
      </c>
      <c r="AD13" s="197"/>
      <c r="AE13" s="197"/>
      <c r="AF13" s="197"/>
      <c r="AG13" s="197"/>
      <c r="AH13" s="197"/>
      <c r="AI13" s="90"/>
      <c r="AJ13" s="185">
        <v>11</v>
      </c>
      <c r="AL13" s="197" t="s">
        <v>363</v>
      </c>
    </row>
    <row r="14" spans="1:41" s="185" customFormat="1" x14ac:dyDescent="0.2">
      <c r="A14" s="199">
        <v>12</v>
      </c>
      <c r="B14" s="200"/>
      <c r="C14" s="197" t="s">
        <v>358</v>
      </c>
      <c r="D14" s="201"/>
      <c r="E14" s="197" t="s">
        <v>222</v>
      </c>
      <c r="F14" s="202"/>
      <c r="G14" s="90"/>
      <c r="H14" s="185">
        <v>12</v>
      </c>
      <c r="I14" s="92"/>
      <c r="J14" s="197"/>
      <c r="K14" s="197"/>
      <c r="L14" s="197"/>
      <c r="M14" s="197"/>
      <c r="N14" s="90"/>
      <c r="O14" s="185">
        <v>12</v>
      </c>
      <c r="P14" s="92"/>
      <c r="Q14" s="197"/>
      <c r="R14" s="197"/>
      <c r="S14" s="197"/>
      <c r="T14" s="197"/>
      <c r="U14" s="90"/>
      <c r="V14" s="185">
        <v>12</v>
      </c>
      <c r="W14" s="197"/>
      <c r="X14" s="197"/>
      <c r="Y14" s="197"/>
      <c r="Z14" s="197"/>
      <c r="AA14" s="197"/>
      <c r="AB14" s="90"/>
      <c r="AC14" s="185">
        <v>12</v>
      </c>
      <c r="AD14" s="197"/>
      <c r="AE14" s="197"/>
      <c r="AF14" s="197"/>
      <c r="AG14" s="197"/>
      <c r="AH14" s="197"/>
      <c r="AI14" s="90"/>
      <c r="AJ14" s="185">
        <v>12</v>
      </c>
      <c r="AL14" s="197"/>
    </row>
    <row r="15" spans="1:41" s="185" customFormat="1" x14ac:dyDescent="0.2">
      <c r="A15" s="199">
        <v>13</v>
      </c>
      <c r="B15" s="200"/>
      <c r="C15" s="197" t="s">
        <v>342</v>
      </c>
      <c r="D15" s="201"/>
      <c r="E15" s="92" t="s">
        <v>85</v>
      </c>
      <c r="F15" s="202"/>
      <c r="G15" s="90"/>
      <c r="H15" s="185">
        <v>13</v>
      </c>
      <c r="I15" s="92"/>
      <c r="J15" s="197"/>
      <c r="K15" s="197"/>
      <c r="L15" s="197"/>
      <c r="M15" s="197"/>
      <c r="N15" s="90"/>
      <c r="O15" s="185">
        <v>13</v>
      </c>
      <c r="P15" s="92"/>
      <c r="Q15" s="197"/>
      <c r="R15" s="197"/>
      <c r="S15" s="197"/>
      <c r="T15" s="197"/>
      <c r="U15" s="90"/>
      <c r="V15" s="185">
        <v>13</v>
      </c>
      <c r="W15" s="197"/>
      <c r="X15" s="197"/>
      <c r="Y15" s="197"/>
      <c r="Z15" s="197"/>
      <c r="AA15" s="197"/>
      <c r="AB15" s="90"/>
      <c r="AC15" s="185">
        <v>13</v>
      </c>
      <c r="AD15" s="197"/>
      <c r="AE15" s="197"/>
      <c r="AF15" s="197"/>
      <c r="AG15" s="197"/>
      <c r="AH15" s="197"/>
      <c r="AI15" s="90"/>
      <c r="AJ15" s="185">
        <v>13</v>
      </c>
      <c r="AL15" s="197"/>
    </row>
    <row r="16" spans="1:41" s="185" customFormat="1" x14ac:dyDescent="0.2">
      <c r="A16" s="199">
        <v>14</v>
      </c>
      <c r="C16" s="197" t="s">
        <v>324</v>
      </c>
      <c r="D16" s="201"/>
      <c r="E16" s="197" t="s">
        <v>221</v>
      </c>
      <c r="F16" s="202"/>
      <c r="G16" s="90"/>
      <c r="H16" s="185">
        <v>14</v>
      </c>
      <c r="I16" s="92"/>
      <c r="J16" s="197"/>
      <c r="K16" s="197"/>
      <c r="L16" s="197"/>
      <c r="M16" s="197"/>
      <c r="N16" s="90"/>
      <c r="O16" s="185">
        <v>14</v>
      </c>
      <c r="P16" s="92"/>
      <c r="Q16" s="197"/>
      <c r="R16" s="197"/>
      <c r="S16" s="197"/>
      <c r="T16" s="197"/>
      <c r="U16" s="90"/>
      <c r="V16" s="185">
        <v>14</v>
      </c>
      <c r="W16" s="197"/>
      <c r="X16" s="197"/>
      <c r="Y16" s="197"/>
      <c r="Z16" s="197"/>
      <c r="AA16" s="197"/>
      <c r="AB16" s="90"/>
      <c r="AC16" s="185">
        <v>14</v>
      </c>
      <c r="AD16" s="197"/>
      <c r="AE16" s="197"/>
      <c r="AF16" s="197"/>
      <c r="AG16" s="197"/>
      <c r="AH16" s="197"/>
      <c r="AI16" s="90"/>
      <c r="AJ16" s="185">
        <v>14</v>
      </c>
      <c r="AL16" s="197"/>
    </row>
    <row r="17" spans="1:38" s="185" customFormat="1" x14ac:dyDescent="0.2">
      <c r="A17" s="199">
        <v>15</v>
      </c>
      <c r="B17" s="188"/>
      <c r="C17" s="92" t="s">
        <v>325</v>
      </c>
      <c r="D17" s="201"/>
      <c r="E17" s="197" t="s">
        <v>223</v>
      </c>
      <c r="F17" s="202"/>
      <c r="G17" s="90"/>
      <c r="H17" s="185">
        <v>15</v>
      </c>
      <c r="I17" s="92"/>
      <c r="J17" s="197" t="s">
        <v>307</v>
      </c>
      <c r="K17" s="197"/>
      <c r="L17" s="197"/>
      <c r="M17" s="197"/>
      <c r="N17" s="90"/>
      <c r="O17" s="185">
        <v>15</v>
      </c>
      <c r="P17" s="92"/>
      <c r="Q17" s="197"/>
      <c r="R17" s="197"/>
      <c r="S17" s="197"/>
      <c r="T17" s="197"/>
      <c r="U17" s="90"/>
      <c r="V17" s="185">
        <v>15</v>
      </c>
      <c r="W17" s="197"/>
      <c r="X17" s="197"/>
      <c r="Y17" s="197"/>
      <c r="Z17" s="197"/>
      <c r="AA17" s="197"/>
      <c r="AB17" s="90"/>
      <c r="AC17" s="185">
        <v>15</v>
      </c>
      <c r="AD17" s="197"/>
      <c r="AE17" s="197"/>
      <c r="AF17" s="197"/>
      <c r="AG17" s="197"/>
      <c r="AH17" s="197"/>
      <c r="AI17" s="90"/>
      <c r="AJ17" s="185">
        <v>15</v>
      </c>
      <c r="AL17" s="197"/>
    </row>
    <row r="18" spans="1:38" s="185" customFormat="1" x14ac:dyDescent="0.2">
      <c r="A18" s="199">
        <v>16</v>
      </c>
      <c r="B18" s="200"/>
      <c r="C18" s="197" t="s">
        <v>326</v>
      </c>
      <c r="D18" s="201"/>
      <c r="E18" s="92" t="s">
        <v>89</v>
      </c>
      <c r="F18" s="202"/>
      <c r="G18" s="90"/>
      <c r="H18" s="185">
        <v>16</v>
      </c>
      <c r="I18" s="92"/>
      <c r="J18" s="197"/>
      <c r="K18" s="197"/>
      <c r="L18" s="197"/>
      <c r="M18" s="197"/>
      <c r="N18" s="90"/>
      <c r="O18" s="185">
        <v>16</v>
      </c>
      <c r="P18" s="197"/>
      <c r="Q18" s="197"/>
      <c r="R18" s="197"/>
      <c r="S18" s="197"/>
      <c r="T18" s="197"/>
      <c r="U18" s="90"/>
      <c r="V18" s="185">
        <v>16</v>
      </c>
      <c r="W18" s="197"/>
      <c r="X18" s="197"/>
      <c r="Y18" s="197"/>
      <c r="Z18" s="197"/>
      <c r="AA18" s="197"/>
      <c r="AB18" s="90"/>
      <c r="AC18" s="185">
        <v>16</v>
      </c>
      <c r="AD18" s="197"/>
      <c r="AE18" s="197"/>
      <c r="AF18" s="197"/>
      <c r="AG18" s="197"/>
      <c r="AH18" s="197"/>
      <c r="AI18" s="90"/>
      <c r="AJ18" s="185">
        <v>16</v>
      </c>
      <c r="AL18" s="197"/>
    </row>
    <row r="19" spans="1:38" s="185" customFormat="1" x14ac:dyDescent="0.2">
      <c r="A19" s="199">
        <v>17</v>
      </c>
      <c r="B19" s="188"/>
      <c r="C19" s="197" t="s">
        <v>340</v>
      </c>
      <c r="D19" s="201"/>
      <c r="E19" s="197" t="s">
        <v>220</v>
      </c>
      <c r="F19" s="202"/>
      <c r="G19" s="90"/>
      <c r="H19" s="185">
        <v>17</v>
      </c>
      <c r="I19" s="188"/>
      <c r="J19" s="197"/>
      <c r="K19" s="197"/>
      <c r="L19" s="197"/>
      <c r="M19" s="197"/>
      <c r="N19" s="90"/>
      <c r="O19" s="185">
        <v>17</v>
      </c>
      <c r="P19" s="188"/>
      <c r="Q19" s="197"/>
      <c r="R19" s="197"/>
      <c r="S19" s="197"/>
      <c r="T19" s="197"/>
      <c r="U19" s="90"/>
      <c r="V19" s="185">
        <v>17</v>
      </c>
      <c r="W19" s="197"/>
      <c r="X19" s="197"/>
      <c r="Y19" s="197"/>
      <c r="Z19" s="197"/>
      <c r="AA19" s="197"/>
      <c r="AB19" s="90"/>
      <c r="AC19" s="185">
        <v>17</v>
      </c>
      <c r="AD19" s="197"/>
      <c r="AE19" s="197"/>
      <c r="AF19" s="197"/>
      <c r="AG19" s="197"/>
      <c r="AH19" s="197"/>
      <c r="AI19" s="90"/>
      <c r="AJ19" s="185">
        <v>17</v>
      </c>
      <c r="AL19" s="197" t="s">
        <v>238</v>
      </c>
    </row>
    <row r="20" spans="1:38" s="185" customFormat="1" x14ac:dyDescent="0.2">
      <c r="A20" s="199">
        <v>18</v>
      </c>
      <c r="B20" s="188"/>
      <c r="C20" s="197"/>
      <c r="D20" s="201"/>
      <c r="E20" s="197" t="s">
        <v>273</v>
      </c>
      <c r="F20" s="202"/>
      <c r="G20" s="90"/>
      <c r="H20" s="185">
        <v>18</v>
      </c>
      <c r="I20" s="92"/>
      <c r="J20" s="197"/>
      <c r="K20" s="197"/>
      <c r="L20" s="197"/>
      <c r="M20" s="197"/>
      <c r="N20" s="90"/>
      <c r="O20" s="185">
        <v>18</v>
      </c>
      <c r="P20" s="197"/>
      <c r="Q20" s="197"/>
      <c r="R20" s="197"/>
      <c r="S20" s="197"/>
      <c r="T20" s="197"/>
      <c r="U20" s="90"/>
      <c r="V20" s="185">
        <v>18</v>
      </c>
      <c r="W20" s="197"/>
      <c r="X20" s="197"/>
      <c r="Y20" s="197"/>
      <c r="Z20" s="197"/>
      <c r="AA20" s="197"/>
      <c r="AB20" s="90"/>
      <c r="AC20" s="185">
        <v>18</v>
      </c>
      <c r="AD20" s="197"/>
      <c r="AE20" s="197"/>
      <c r="AF20" s="197"/>
      <c r="AG20" s="197"/>
      <c r="AH20" s="197"/>
      <c r="AI20" s="90"/>
      <c r="AJ20" s="185">
        <v>18</v>
      </c>
      <c r="AL20" s="197"/>
    </row>
    <row r="21" spans="1:38" s="185" customFormat="1" x14ac:dyDescent="0.2">
      <c r="A21" s="199">
        <v>19</v>
      </c>
      <c r="B21" s="200"/>
      <c r="C21" s="92"/>
      <c r="D21" s="201"/>
      <c r="E21" s="188" t="s">
        <v>238</v>
      </c>
      <c r="F21" s="202"/>
      <c r="G21" s="90"/>
      <c r="H21" s="185">
        <v>19</v>
      </c>
      <c r="I21" s="92"/>
      <c r="J21" s="197"/>
      <c r="K21" s="197"/>
      <c r="L21" s="197"/>
      <c r="M21" s="197"/>
      <c r="N21" s="90"/>
      <c r="O21" s="185">
        <v>19</v>
      </c>
      <c r="P21" s="197"/>
      <c r="Q21" s="197"/>
      <c r="R21" s="197"/>
      <c r="S21" s="197"/>
      <c r="T21" s="197"/>
      <c r="U21" s="90"/>
      <c r="V21" s="185">
        <v>19</v>
      </c>
      <c r="W21" s="197"/>
      <c r="X21" s="197"/>
      <c r="Y21" s="197"/>
      <c r="Z21" s="197"/>
      <c r="AA21" s="197"/>
      <c r="AB21" s="90"/>
      <c r="AC21" s="185">
        <v>19</v>
      </c>
      <c r="AD21" s="197"/>
      <c r="AE21" s="197"/>
      <c r="AF21" s="197"/>
      <c r="AG21" s="197"/>
      <c r="AH21" s="197"/>
      <c r="AI21" s="90"/>
      <c r="AJ21" s="185">
        <v>19</v>
      </c>
      <c r="AL21" s="92"/>
    </row>
    <row r="22" spans="1:38" s="185" customFormat="1" x14ac:dyDescent="0.2">
      <c r="A22" s="199">
        <v>20</v>
      </c>
      <c r="B22" s="200"/>
      <c r="C22" s="92"/>
      <c r="D22" s="201"/>
      <c r="E22" s="197"/>
      <c r="F22" s="202"/>
      <c r="G22" s="90"/>
      <c r="H22" s="185">
        <v>20</v>
      </c>
      <c r="I22" s="92"/>
      <c r="J22" s="197"/>
      <c r="K22" s="197"/>
      <c r="L22" s="197"/>
      <c r="M22" s="197"/>
      <c r="N22" s="90"/>
      <c r="O22" s="185">
        <v>20</v>
      </c>
      <c r="P22" s="197"/>
      <c r="Q22" s="197"/>
      <c r="R22" s="197"/>
      <c r="S22" s="197"/>
      <c r="T22" s="197"/>
      <c r="U22" s="90"/>
      <c r="V22" s="185">
        <v>20</v>
      </c>
      <c r="W22" s="197"/>
      <c r="X22" s="197"/>
      <c r="Y22" s="197"/>
      <c r="Z22" s="197"/>
      <c r="AA22" s="197"/>
      <c r="AB22" s="90"/>
      <c r="AC22" s="185">
        <v>20</v>
      </c>
      <c r="AD22" s="197"/>
      <c r="AE22" s="197"/>
      <c r="AF22" s="197"/>
      <c r="AG22" s="197"/>
      <c r="AH22" s="197"/>
      <c r="AI22" s="90"/>
      <c r="AJ22" s="185">
        <v>20</v>
      </c>
      <c r="AL22" s="92"/>
    </row>
    <row r="23" spans="1:38" s="185" customFormat="1" x14ac:dyDescent="0.2">
      <c r="A23" s="199">
        <v>21</v>
      </c>
      <c r="C23" s="197" t="s">
        <v>307</v>
      </c>
      <c r="D23" s="201"/>
      <c r="E23" s="197"/>
      <c r="F23" s="202"/>
      <c r="G23" s="90"/>
      <c r="H23" s="185">
        <v>21</v>
      </c>
      <c r="I23" s="92"/>
      <c r="J23" s="197"/>
      <c r="K23" s="197"/>
      <c r="L23" s="197"/>
      <c r="M23" s="197"/>
      <c r="N23" s="90"/>
      <c r="O23" s="185">
        <v>21</v>
      </c>
      <c r="P23" s="197"/>
      <c r="Q23" s="197"/>
      <c r="R23" s="197"/>
      <c r="S23" s="197"/>
      <c r="T23" s="197"/>
      <c r="U23" s="90"/>
      <c r="V23" s="185">
        <v>21</v>
      </c>
      <c r="W23" s="197"/>
      <c r="X23" s="197"/>
      <c r="Y23" s="197"/>
      <c r="Z23" s="197"/>
      <c r="AA23" s="197"/>
      <c r="AB23" s="90"/>
      <c r="AC23" s="185">
        <v>21</v>
      </c>
      <c r="AD23" s="197"/>
      <c r="AE23" s="197"/>
      <c r="AF23" s="197"/>
      <c r="AG23" s="197"/>
      <c r="AH23" s="197"/>
      <c r="AI23" s="90"/>
      <c r="AJ23" s="185">
        <v>21</v>
      </c>
    </row>
    <row r="24" spans="1:38" s="185" customFormat="1" x14ac:dyDescent="0.2">
      <c r="A24" s="199">
        <v>22</v>
      </c>
      <c r="B24" s="188"/>
      <c r="C24" s="188"/>
      <c r="D24" s="201"/>
      <c r="E24" s="197"/>
      <c r="F24" s="202"/>
      <c r="G24" s="90"/>
      <c r="H24" s="185">
        <v>22</v>
      </c>
      <c r="I24" s="92"/>
      <c r="J24" s="197"/>
      <c r="K24" s="197"/>
      <c r="L24" s="197"/>
      <c r="M24" s="197"/>
      <c r="N24" s="90"/>
      <c r="O24" s="185">
        <v>22</v>
      </c>
      <c r="P24" s="197"/>
      <c r="Q24" s="197"/>
      <c r="R24" s="197"/>
      <c r="S24" s="197"/>
      <c r="T24" s="197"/>
      <c r="U24" s="90"/>
      <c r="V24" s="185">
        <v>22</v>
      </c>
      <c r="W24" s="197"/>
      <c r="X24" s="197"/>
      <c r="Y24" s="197"/>
      <c r="Z24" s="197"/>
      <c r="AA24" s="197"/>
      <c r="AB24" s="90"/>
      <c r="AC24" s="185">
        <v>22</v>
      </c>
      <c r="AD24" s="197"/>
      <c r="AE24" s="197"/>
      <c r="AF24" s="197"/>
      <c r="AG24" s="197"/>
      <c r="AH24" s="197"/>
      <c r="AI24" s="90"/>
      <c r="AJ24" s="185">
        <v>22</v>
      </c>
    </row>
    <row r="25" spans="1:38" s="185" customFormat="1" x14ac:dyDescent="0.2">
      <c r="A25" s="199">
        <v>23</v>
      </c>
      <c r="B25" s="188"/>
      <c r="C25" s="197"/>
      <c r="D25" s="201"/>
      <c r="E25" s="197"/>
      <c r="F25" s="201"/>
      <c r="G25" s="203"/>
      <c r="H25" s="185">
        <v>23</v>
      </c>
      <c r="I25" s="92"/>
      <c r="J25" s="197"/>
      <c r="K25" s="197"/>
      <c r="L25" s="197"/>
      <c r="M25" s="197"/>
      <c r="N25" s="203"/>
      <c r="O25" s="185">
        <v>23</v>
      </c>
      <c r="P25" s="197"/>
      <c r="Q25" s="197"/>
      <c r="R25" s="197"/>
      <c r="S25" s="197"/>
      <c r="T25" s="197"/>
      <c r="U25" s="203"/>
      <c r="V25" s="185">
        <v>23</v>
      </c>
      <c r="W25" s="197"/>
      <c r="X25" s="197"/>
      <c r="Y25" s="197"/>
      <c r="Z25" s="197"/>
      <c r="AA25" s="197"/>
      <c r="AB25" s="203"/>
      <c r="AC25" s="185">
        <v>23</v>
      </c>
      <c r="AD25" s="197"/>
      <c r="AE25" s="197"/>
      <c r="AF25" s="197"/>
      <c r="AG25" s="197"/>
      <c r="AH25" s="197"/>
      <c r="AI25" s="203"/>
      <c r="AJ25" s="185">
        <v>23</v>
      </c>
      <c r="AL25" s="185" t="s">
        <v>238</v>
      </c>
    </row>
    <row r="26" spans="1:38" s="185" customFormat="1" x14ac:dyDescent="0.2">
      <c r="A26" s="199">
        <v>24</v>
      </c>
      <c r="B26" s="188"/>
      <c r="C26" s="197"/>
      <c r="D26" s="201"/>
      <c r="E26" s="197"/>
      <c r="F26" s="201"/>
      <c r="G26" s="203"/>
      <c r="H26" s="185">
        <v>24</v>
      </c>
      <c r="I26" s="92"/>
      <c r="J26" s="197"/>
      <c r="K26" s="197"/>
      <c r="L26" s="197"/>
      <c r="M26" s="197"/>
      <c r="N26" s="203"/>
      <c r="O26" s="185">
        <v>24</v>
      </c>
      <c r="P26" s="197"/>
      <c r="Q26" s="197"/>
      <c r="R26" s="197"/>
      <c r="S26" s="197"/>
      <c r="T26" s="197"/>
      <c r="U26" s="203"/>
      <c r="V26" s="185">
        <v>24</v>
      </c>
      <c r="W26" s="197"/>
      <c r="X26" s="197"/>
      <c r="Y26" s="197"/>
      <c r="Z26" s="197"/>
      <c r="AA26" s="197"/>
      <c r="AB26" s="203"/>
      <c r="AC26" s="185">
        <v>24</v>
      </c>
      <c r="AD26" s="197"/>
      <c r="AE26" s="197"/>
      <c r="AF26" s="197"/>
      <c r="AG26" s="197"/>
      <c r="AH26" s="197"/>
      <c r="AI26" s="203"/>
      <c r="AJ26" s="185">
        <v>24</v>
      </c>
    </row>
    <row r="27" spans="1:38" s="185" customFormat="1" x14ac:dyDescent="0.2">
      <c r="A27" s="199">
        <v>25</v>
      </c>
      <c r="B27" s="188"/>
      <c r="C27" s="197"/>
      <c r="D27" s="201"/>
      <c r="E27" s="198"/>
      <c r="F27" s="201"/>
      <c r="G27" s="203"/>
      <c r="H27" s="185">
        <v>25</v>
      </c>
      <c r="I27" s="92"/>
      <c r="J27" s="198"/>
      <c r="K27" s="198"/>
      <c r="L27" s="198"/>
      <c r="M27" s="198"/>
      <c r="N27" s="203"/>
      <c r="O27" s="185">
        <v>25</v>
      </c>
      <c r="P27" s="197"/>
      <c r="Q27" s="198"/>
      <c r="R27" s="198"/>
      <c r="S27" s="198"/>
      <c r="T27" s="198"/>
      <c r="U27" s="203"/>
      <c r="V27" s="185">
        <v>25</v>
      </c>
      <c r="W27" s="198"/>
      <c r="X27" s="198"/>
      <c r="Y27" s="198"/>
      <c r="Z27" s="198"/>
      <c r="AA27" s="198"/>
      <c r="AB27" s="203"/>
      <c r="AC27" s="185">
        <v>25</v>
      </c>
      <c r="AD27" s="197"/>
      <c r="AE27" s="198"/>
      <c r="AF27" s="198"/>
      <c r="AG27" s="198"/>
      <c r="AH27" s="198"/>
      <c r="AI27" s="203"/>
    </row>
    <row r="28" spans="1:38" s="185" customFormat="1" x14ac:dyDescent="0.2">
      <c r="A28" s="199">
        <v>26</v>
      </c>
      <c r="B28" s="188"/>
      <c r="C28" s="197"/>
      <c r="D28" s="201"/>
      <c r="F28" s="201"/>
      <c r="G28" s="203"/>
      <c r="H28" s="185">
        <v>26</v>
      </c>
      <c r="I28" s="92"/>
      <c r="N28" s="203"/>
      <c r="O28" s="185">
        <v>26</v>
      </c>
      <c r="P28" s="198"/>
      <c r="U28" s="203"/>
      <c r="V28" s="185">
        <v>26</v>
      </c>
      <c r="AB28" s="203"/>
      <c r="AC28" s="185">
        <v>26</v>
      </c>
      <c r="AD28" s="198"/>
      <c r="AI28" s="203"/>
    </row>
    <row r="29" spans="1:38" s="185" customFormat="1" x14ac:dyDescent="0.2">
      <c r="A29" s="199">
        <v>27</v>
      </c>
      <c r="C29" s="197"/>
      <c r="D29" s="201"/>
      <c r="F29" s="204"/>
      <c r="G29" s="203"/>
      <c r="H29" s="185">
        <v>27</v>
      </c>
      <c r="I29" s="92"/>
      <c r="N29" s="203"/>
      <c r="O29" s="185">
        <v>27</v>
      </c>
      <c r="U29" s="203"/>
      <c r="V29" s="185">
        <v>27</v>
      </c>
      <c r="AB29" s="203"/>
      <c r="AC29" s="185">
        <v>27</v>
      </c>
      <c r="AI29" s="203"/>
    </row>
    <row r="30" spans="1:38" s="185" customFormat="1" x14ac:dyDescent="0.2">
      <c r="A30" s="199">
        <v>28</v>
      </c>
      <c r="B30" s="188"/>
      <c r="C30" s="198"/>
      <c r="D30" s="204"/>
      <c r="F30" s="200"/>
      <c r="G30" s="203"/>
      <c r="H30" s="185">
        <v>28</v>
      </c>
      <c r="I30" s="92"/>
      <c r="N30" s="203"/>
      <c r="O30" s="185">
        <v>28</v>
      </c>
      <c r="U30" s="203"/>
      <c r="V30" s="185">
        <v>28</v>
      </c>
      <c r="AB30" s="203"/>
      <c r="AC30" s="185">
        <v>28</v>
      </c>
      <c r="AI30" s="203"/>
    </row>
    <row r="31" spans="1:38" s="185" customFormat="1" x14ac:dyDescent="0.2">
      <c r="A31" s="199">
        <v>29</v>
      </c>
      <c r="B31" s="188"/>
      <c r="D31" s="200"/>
      <c r="F31" s="200"/>
      <c r="G31" s="203"/>
      <c r="N31" s="203"/>
      <c r="U31" s="203"/>
      <c r="AB31" s="203"/>
      <c r="AI31" s="203"/>
    </row>
    <row r="32" spans="1:38" s="185" customFormat="1" x14ac:dyDescent="0.2">
      <c r="A32" s="199">
        <v>30</v>
      </c>
      <c r="B32" s="188"/>
      <c r="D32" s="200"/>
      <c r="F32" s="200"/>
      <c r="G32" s="203"/>
      <c r="N32" s="203"/>
      <c r="U32" s="203"/>
      <c r="AB32" s="203"/>
      <c r="AI32" s="203"/>
    </row>
    <row r="33" spans="1:35" s="185" customFormat="1" x14ac:dyDescent="0.2">
      <c r="A33" s="199">
        <v>31</v>
      </c>
      <c r="B33" s="188"/>
      <c r="D33" s="200"/>
      <c r="F33" s="200"/>
      <c r="G33" s="203"/>
      <c r="N33" s="203"/>
      <c r="U33" s="203"/>
      <c r="AB33" s="203"/>
      <c r="AI33" s="203"/>
    </row>
    <row r="34" spans="1:35" s="185" customFormat="1" x14ac:dyDescent="0.2">
      <c r="A34" s="199">
        <v>32</v>
      </c>
      <c r="D34" s="200"/>
      <c r="F34" s="200"/>
      <c r="G34" s="203"/>
      <c r="N34" s="203"/>
      <c r="U34" s="203"/>
      <c r="AB34" s="203"/>
      <c r="AI34" s="203"/>
    </row>
    <row r="35" spans="1:35" s="185" customFormat="1" x14ac:dyDescent="0.2">
      <c r="A35" s="199">
        <v>33</v>
      </c>
      <c r="B35" s="188"/>
      <c r="D35" s="200"/>
      <c r="F35" s="200"/>
      <c r="G35" s="203"/>
      <c r="N35" s="203"/>
      <c r="U35" s="203"/>
      <c r="AB35" s="203"/>
      <c r="AI35" s="203"/>
    </row>
    <row r="36" spans="1:35" s="185" customFormat="1" x14ac:dyDescent="0.2">
      <c r="A36" s="199">
        <v>34</v>
      </c>
      <c r="B36" s="188"/>
      <c r="D36" s="200"/>
      <c r="F36" s="200"/>
      <c r="G36" s="203"/>
      <c r="N36" s="203"/>
      <c r="U36" s="203"/>
      <c r="AB36" s="203"/>
      <c r="AI36" s="203"/>
    </row>
    <row r="37" spans="1:35" s="185" customFormat="1" x14ac:dyDescent="0.2">
      <c r="A37" s="199">
        <v>35</v>
      </c>
      <c r="B37" s="188"/>
      <c r="D37" s="200"/>
      <c r="F37" s="200"/>
      <c r="G37" s="203"/>
      <c r="N37" s="203"/>
      <c r="U37" s="203"/>
      <c r="AB37" s="203"/>
      <c r="AI37" s="203"/>
    </row>
    <row r="38" spans="1:35" s="185" customFormat="1" x14ac:dyDescent="0.2">
      <c r="A38" s="199">
        <v>36</v>
      </c>
      <c r="B38" s="188"/>
      <c r="D38" s="200"/>
      <c r="F38" s="200"/>
      <c r="G38" s="203"/>
      <c r="N38" s="203"/>
      <c r="U38" s="203"/>
      <c r="AB38" s="203"/>
      <c r="AI38" s="203"/>
    </row>
    <row r="39" spans="1:35" s="185" customFormat="1" x14ac:dyDescent="0.2">
      <c r="A39" s="199">
        <v>37</v>
      </c>
      <c r="B39" s="188"/>
      <c r="D39" s="200"/>
      <c r="F39" s="200"/>
      <c r="G39" s="203"/>
      <c r="N39" s="203"/>
      <c r="U39" s="203"/>
      <c r="AB39" s="203"/>
      <c r="AI39" s="203"/>
    </row>
    <row r="40" spans="1:35" s="185" customFormat="1" x14ac:dyDescent="0.2">
      <c r="A40" s="199">
        <v>38</v>
      </c>
      <c r="B40" s="188"/>
      <c r="D40" s="200"/>
      <c r="F40" s="200"/>
      <c r="G40" s="203"/>
      <c r="N40" s="203"/>
      <c r="U40" s="203"/>
      <c r="AB40" s="203"/>
      <c r="AI40" s="203"/>
    </row>
    <row r="41" spans="1:35" s="185" customFormat="1" x14ac:dyDescent="0.2">
      <c r="A41" s="199"/>
      <c r="B41" s="188"/>
    </row>
    <row r="42" spans="1:35" s="185" customFormat="1" x14ac:dyDescent="0.2">
      <c r="A42" s="199"/>
      <c r="B42" s="188"/>
    </row>
    <row r="43" spans="1:35" s="185" customFormat="1" x14ac:dyDescent="0.2">
      <c r="A43" s="199"/>
      <c r="B43" s="188"/>
    </row>
    <row r="44" spans="1:35" s="185" customFormat="1" x14ac:dyDescent="0.2">
      <c r="A44" s="199"/>
      <c r="B44" s="188"/>
    </row>
    <row r="45" spans="1:35" s="185" customFormat="1" x14ac:dyDescent="0.2">
      <c r="A45" s="199"/>
    </row>
    <row r="46" spans="1:35" s="185" customFormat="1" x14ac:dyDescent="0.2">
      <c r="A46" s="199"/>
    </row>
    <row r="47" spans="1:35" s="185" customFormat="1" x14ac:dyDescent="0.2">
      <c r="A47" s="199"/>
      <c r="B47" s="188"/>
    </row>
    <row r="48" spans="1:35" s="185" customFormat="1" x14ac:dyDescent="0.2">
      <c r="A48" s="199"/>
    </row>
    <row r="49" spans="1:4" s="185" customFormat="1" x14ac:dyDescent="0.2">
      <c r="A49" s="199"/>
      <c r="B49" s="200"/>
    </row>
    <row r="50" spans="1:4" s="185" customFormat="1" x14ac:dyDescent="0.2">
      <c r="A50" s="199"/>
      <c r="B50" s="188"/>
    </row>
    <row r="51" spans="1:4" x14ac:dyDescent="0.25">
      <c r="A51" s="190"/>
      <c r="B51" s="108"/>
      <c r="D51" s="188"/>
    </row>
    <row r="52" spans="1:4" x14ac:dyDescent="0.25">
      <c r="A52" s="190"/>
      <c r="B52" s="188"/>
      <c r="D52" s="188"/>
    </row>
    <row r="53" spans="1:4" x14ac:dyDescent="0.25">
      <c r="A53" s="190"/>
      <c r="B53" s="108"/>
      <c r="D53" s="188"/>
    </row>
    <row r="54" spans="1:4" x14ac:dyDescent="0.25">
      <c r="A54" s="190"/>
      <c r="B54" s="108"/>
      <c r="D54" s="188"/>
    </row>
    <row r="55" spans="1:4" ht="20.25" x14ac:dyDescent="0.25">
      <c r="A55" s="190"/>
      <c r="B55" s="108"/>
      <c r="D55" s="69"/>
    </row>
    <row r="56" spans="1:4" ht="20.25" x14ac:dyDescent="0.25">
      <c r="A56" s="190"/>
      <c r="B56" s="108"/>
      <c r="D56" s="69"/>
    </row>
    <row r="57" spans="1:4" x14ac:dyDescent="0.25">
      <c r="A57" s="190"/>
      <c r="B57" s="108"/>
      <c r="D57" s="188"/>
    </row>
    <row r="58" spans="1:4" x14ac:dyDescent="0.25">
      <c r="A58" s="190"/>
      <c r="B58" s="108"/>
      <c r="D58" s="188"/>
    </row>
    <row r="59" spans="1:4" x14ac:dyDescent="0.25">
      <c r="A59" s="190"/>
      <c r="B59" s="108"/>
      <c r="D59" s="188"/>
    </row>
    <row r="60" spans="1:4" x14ac:dyDescent="0.25">
      <c r="A60" s="190"/>
      <c r="B60" s="108"/>
      <c r="D60" s="188"/>
    </row>
    <row r="61" spans="1:4" x14ac:dyDescent="0.25">
      <c r="A61" s="190"/>
      <c r="D61" s="188"/>
    </row>
    <row r="62" spans="1:4" x14ac:dyDescent="0.25">
      <c r="A62" s="190"/>
      <c r="D62" s="188"/>
    </row>
    <row r="63" spans="1:4" x14ac:dyDescent="0.25">
      <c r="A63" s="190"/>
      <c r="B63" s="108"/>
      <c r="D63" s="188"/>
    </row>
    <row r="64" spans="1:4" x14ac:dyDescent="0.25">
      <c r="A64" s="190"/>
      <c r="D64" s="188"/>
    </row>
    <row r="65" spans="1:4" x14ac:dyDescent="0.25">
      <c r="A65" s="190"/>
      <c r="D65" s="188"/>
    </row>
    <row r="66" spans="1:4" x14ac:dyDescent="0.25">
      <c r="A66" s="190"/>
      <c r="D66" s="188"/>
    </row>
    <row r="67" spans="1:4" x14ac:dyDescent="0.25">
      <c r="A67" s="190"/>
      <c r="D67" s="188"/>
    </row>
    <row r="68" spans="1:4" x14ac:dyDescent="0.25">
      <c r="A68" s="190"/>
      <c r="D68" s="188"/>
    </row>
    <row r="69" spans="1:4" x14ac:dyDescent="0.25">
      <c r="A69" s="190"/>
      <c r="D69" s="188"/>
    </row>
    <row r="70" spans="1:4" x14ac:dyDescent="0.25">
      <c r="A70" s="190"/>
      <c r="D70" s="188"/>
    </row>
    <row r="71" spans="1:4" x14ac:dyDescent="0.25">
      <c r="A71" s="190"/>
      <c r="D71" s="188"/>
    </row>
    <row r="72" spans="1:4" x14ac:dyDescent="0.25">
      <c r="A72" s="190"/>
      <c r="D72" s="188"/>
    </row>
    <row r="73" spans="1:4" x14ac:dyDescent="0.25">
      <c r="A73" s="190"/>
      <c r="D73" s="188"/>
    </row>
    <row r="74" spans="1:4" x14ac:dyDescent="0.25">
      <c r="A74" s="190"/>
      <c r="D74" s="188"/>
    </row>
    <row r="75" spans="1:4" x14ac:dyDescent="0.25">
      <c r="A75" s="190"/>
      <c r="D75" s="188"/>
    </row>
    <row r="76" spans="1:4" x14ac:dyDescent="0.25">
      <c r="A76" s="190"/>
      <c r="D76" s="188"/>
    </row>
    <row r="77" spans="1:4" x14ac:dyDescent="0.25">
      <c r="A77" s="190"/>
      <c r="D77" s="188"/>
    </row>
    <row r="78" spans="1:4" x14ac:dyDescent="0.25">
      <c r="A78" s="190"/>
      <c r="D78" s="188"/>
    </row>
    <row r="79" spans="1:4" x14ac:dyDescent="0.25">
      <c r="A79" s="190"/>
      <c r="D79" s="188"/>
    </row>
    <row r="80" spans="1:4" x14ac:dyDescent="0.25">
      <c r="A80" s="190"/>
      <c r="D80" s="188"/>
    </row>
    <row r="81" spans="1:4" ht="20.25" x14ac:dyDescent="0.25">
      <c r="A81" s="190"/>
      <c r="D81" s="69"/>
    </row>
    <row r="82" spans="1:4" ht="20.25" x14ac:dyDescent="0.25">
      <c r="A82" s="190"/>
      <c r="D82" s="69"/>
    </row>
    <row r="83" spans="1:4" ht="20.25" x14ac:dyDescent="0.25">
      <c r="A83" s="190"/>
      <c r="D83" s="69"/>
    </row>
    <row r="84" spans="1:4" ht="20.25" x14ac:dyDescent="0.25">
      <c r="A84" s="190"/>
      <c r="D84" s="69"/>
    </row>
    <row r="85" spans="1:4" ht="20.25" x14ac:dyDescent="0.25">
      <c r="A85" s="190"/>
      <c r="D85" s="69"/>
    </row>
    <row r="86" spans="1:4" ht="20.25" x14ac:dyDescent="0.25">
      <c r="A86" s="190"/>
      <c r="D86" s="69"/>
    </row>
    <row r="87" spans="1:4" ht="20.25" x14ac:dyDescent="0.25">
      <c r="A87" s="190"/>
      <c r="D87" s="69"/>
    </row>
    <row r="88" spans="1:4" ht="20.25" x14ac:dyDescent="0.25">
      <c r="A88" s="190"/>
      <c r="D88" s="69"/>
    </row>
    <row r="89" spans="1:4" x14ac:dyDescent="0.25">
      <c r="A89" s="190"/>
    </row>
    <row r="90" spans="1:4" x14ac:dyDescent="0.25">
      <c r="A90" s="190"/>
    </row>
    <row r="91" spans="1:4" x14ac:dyDescent="0.25">
      <c r="A91" s="190"/>
    </row>
    <row r="92" spans="1:4" x14ac:dyDescent="0.25">
      <c r="A92" s="190"/>
    </row>
    <row r="93" spans="1:4" x14ac:dyDescent="0.25">
      <c r="A93" s="190"/>
    </row>
    <row r="94" spans="1:4" x14ac:dyDescent="0.25">
      <c r="A94" s="190"/>
    </row>
    <row r="95" spans="1:4" x14ac:dyDescent="0.25">
      <c r="A95" s="190"/>
    </row>
    <row r="96" spans="1:4" x14ac:dyDescent="0.25">
      <c r="A96" s="190"/>
    </row>
    <row r="97" spans="1:2" x14ac:dyDescent="0.25">
      <c r="A97" s="190"/>
    </row>
    <row r="98" spans="1:2" x14ac:dyDescent="0.25">
      <c r="A98" s="190"/>
    </row>
    <row r="99" spans="1:2" x14ac:dyDescent="0.25">
      <c r="A99" s="190"/>
      <c r="B99" s="187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  <dataValidation type="list" allowBlank="1" showInputMessage="1" showErrorMessage="1" sqref="AL2">
      <formula1>$AL$3:$AL$22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topLeftCell="A6" workbookViewId="0">
      <selection activeCell="N11" sqref="N11"/>
    </sheetView>
  </sheetViews>
  <sheetFormatPr defaultRowHeight="14.25" x14ac:dyDescent="0.2"/>
  <cols>
    <col min="1" max="1" width="12.125" customWidth="1"/>
    <col min="2" max="2" width="6.5" customWidth="1"/>
    <col min="3" max="3" width="7.125" customWidth="1"/>
    <col min="4" max="4" width="6.5" customWidth="1"/>
    <col min="5" max="5" width="5.5" customWidth="1"/>
    <col min="6" max="6" width="6.5" customWidth="1"/>
    <col min="7" max="7" width="5.5" customWidth="1"/>
    <col min="8" max="8" width="7.25" customWidth="1"/>
    <col min="9" max="9" width="6.875" customWidth="1"/>
    <col min="10" max="11" width="6.25" customWidth="1"/>
    <col min="12" max="12" width="5.875" customWidth="1"/>
    <col min="13" max="13" width="6.5" customWidth="1"/>
    <col min="15" max="15" width="13.5" customWidth="1"/>
  </cols>
  <sheetData>
    <row r="2" spans="1:15" ht="18" x14ac:dyDescent="0.25">
      <c r="B2" s="476" t="s">
        <v>180</v>
      </c>
      <c r="C2" s="476"/>
      <c r="D2" s="476"/>
      <c r="E2" s="476"/>
      <c r="F2" s="476"/>
      <c r="G2" s="476"/>
      <c r="H2" s="476"/>
      <c r="I2" s="476"/>
      <c r="J2" s="476"/>
      <c r="K2" s="476"/>
      <c r="L2" s="476"/>
      <c r="M2" s="476"/>
    </row>
    <row r="3" spans="1:15" ht="18" x14ac:dyDescent="0.25">
      <c r="B3" s="476" t="s">
        <v>181</v>
      </c>
      <c r="C3" s="476"/>
      <c r="D3" s="476" t="s">
        <v>182</v>
      </c>
      <c r="E3" s="476"/>
      <c r="F3" s="476" t="s">
        <v>183</v>
      </c>
      <c r="G3" s="476"/>
      <c r="H3" s="476" t="s">
        <v>184</v>
      </c>
      <c r="I3" s="476"/>
      <c r="J3" s="476" t="s">
        <v>186</v>
      </c>
      <c r="K3" s="476"/>
      <c r="L3" s="476" t="s">
        <v>187</v>
      </c>
      <c r="M3" s="476"/>
    </row>
    <row r="4" spans="1:15" ht="18" x14ac:dyDescent="0.25">
      <c r="B4" s="476">
        <v>49</v>
      </c>
      <c r="C4" s="476"/>
      <c r="D4" s="476">
        <v>28</v>
      </c>
      <c r="E4" s="476"/>
      <c r="F4" s="476">
        <v>11</v>
      </c>
      <c r="G4" s="476"/>
      <c r="H4" s="476">
        <v>11</v>
      </c>
      <c r="I4" s="476"/>
      <c r="J4" s="476">
        <v>1</v>
      </c>
      <c r="K4" s="476"/>
      <c r="L4" s="476">
        <f>B4+D4+F4+H4+J4</f>
        <v>100</v>
      </c>
      <c r="M4" s="476"/>
    </row>
    <row r="5" spans="1:15" ht="18" x14ac:dyDescent="0.2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</row>
    <row r="6" spans="1:15" ht="18" x14ac:dyDescent="0.25">
      <c r="B6" s="479" t="s">
        <v>185</v>
      </c>
      <c r="C6" s="479"/>
      <c r="D6" s="479"/>
      <c r="E6" s="479"/>
      <c r="F6" s="479"/>
      <c r="G6" s="479"/>
      <c r="H6" s="479"/>
      <c r="I6" s="479"/>
      <c r="J6" s="479"/>
      <c r="K6" s="162"/>
      <c r="L6" s="162"/>
      <c r="M6" s="162"/>
    </row>
    <row r="7" spans="1:15" ht="18" x14ac:dyDescent="0.2">
      <c r="B7" s="478" t="s">
        <v>0</v>
      </c>
      <c r="C7" s="478"/>
      <c r="D7" s="478"/>
      <c r="E7" s="478" t="s">
        <v>178</v>
      </c>
      <c r="F7" s="478"/>
      <c r="G7" s="478"/>
      <c r="H7" s="478" t="s">
        <v>3</v>
      </c>
      <c r="I7" s="478"/>
      <c r="J7" s="478"/>
      <c r="K7" s="478" t="s">
        <v>179</v>
      </c>
      <c r="L7" s="478"/>
      <c r="M7" s="478"/>
    </row>
    <row r="8" spans="1:15" ht="15" x14ac:dyDescent="0.2">
      <c r="B8" s="165" t="s">
        <v>189</v>
      </c>
      <c r="C8" s="165" t="s">
        <v>188</v>
      </c>
      <c r="D8" s="165" t="s">
        <v>190</v>
      </c>
      <c r="E8" s="165" t="s">
        <v>189</v>
      </c>
      <c r="F8" s="165" t="s">
        <v>188</v>
      </c>
      <c r="G8" s="165" t="s">
        <v>190</v>
      </c>
      <c r="H8" s="165" t="s">
        <v>189</v>
      </c>
      <c r="I8" s="165" t="s">
        <v>188</v>
      </c>
      <c r="J8" s="165" t="s">
        <v>190</v>
      </c>
      <c r="K8" s="165" t="s">
        <v>189</v>
      </c>
      <c r="L8" s="165" t="s">
        <v>188</v>
      </c>
      <c r="M8" s="165" t="s">
        <v>190</v>
      </c>
    </row>
    <row r="9" spans="1:15" ht="18" x14ac:dyDescent="0.2">
      <c r="B9" s="163">
        <v>60</v>
      </c>
      <c r="C9" s="163">
        <v>28</v>
      </c>
      <c r="D9" s="163">
        <v>12</v>
      </c>
      <c r="E9" s="163">
        <v>60</v>
      </c>
      <c r="F9" s="163">
        <v>28</v>
      </c>
      <c r="G9" s="163">
        <v>12</v>
      </c>
      <c r="H9" s="163">
        <v>60</v>
      </c>
      <c r="I9" s="163">
        <v>28</v>
      </c>
      <c r="J9" s="164">
        <v>12</v>
      </c>
      <c r="K9" s="163">
        <v>60</v>
      </c>
      <c r="L9" s="163">
        <v>28</v>
      </c>
      <c r="M9" s="164">
        <v>12</v>
      </c>
    </row>
    <row r="11" spans="1:15" ht="15.75" x14ac:dyDescent="0.2">
      <c r="A11" s="474" t="s">
        <v>29</v>
      </c>
      <c r="B11" s="475" t="s">
        <v>352</v>
      </c>
      <c r="C11" s="475"/>
      <c r="D11" s="475"/>
      <c r="E11" s="475" t="s">
        <v>353</v>
      </c>
      <c r="F11" s="475"/>
      <c r="G11" s="475"/>
      <c r="H11" s="475" t="s">
        <v>354</v>
      </c>
      <c r="I11" s="475"/>
      <c r="J11" s="475"/>
      <c r="K11" s="475" t="s">
        <v>30</v>
      </c>
      <c r="L11" s="475"/>
      <c r="M11" s="475"/>
    </row>
    <row r="12" spans="1:15" ht="15.75" x14ac:dyDescent="0.2">
      <c r="A12" s="474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30" x14ac:dyDescent="0.2">
      <c r="A13" s="8" t="s">
        <v>0</v>
      </c>
      <c r="B13" s="9">
        <f>B20*(B9*0.01)</f>
        <v>329.28</v>
      </c>
      <c r="C13" s="9">
        <f>B20*0.28</f>
        <v>153.66400000000002</v>
      </c>
      <c r="D13" s="9">
        <f>B20*0.12</f>
        <v>65.855999999999995</v>
      </c>
      <c r="E13" s="9">
        <f t="shared" ref="E13" si="0">E20*0.6</f>
        <v>411.59999999999997</v>
      </c>
      <c r="F13" s="9">
        <f t="shared" ref="F13" si="1">E20*0.28</f>
        <v>192.08</v>
      </c>
      <c r="G13" s="9">
        <f t="shared" ref="G13:G14" si="2">E20*0.12</f>
        <v>82.32</v>
      </c>
      <c r="H13" s="9">
        <f t="shared" ref="H13" si="3">H20*0.6</f>
        <v>611.52</v>
      </c>
      <c r="I13" s="9">
        <f t="shared" ref="I13" si="4">H20*0.28</f>
        <v>285.37600000000003</v>
      </c>
      <c r="J13" s="9">
        <f t="shared" ref="J13:J14" si="5">H20*0.12</f>
        <v>122.30399999999999</v>
      </c>
      <c r="K13" s="9">
        <f t="shared" ref="K13" si="6">K20*0.6</f>
        <v>141.11999999999998</v>
      </c>
      <c r="L13" s="9">
        <f t="shared" ref="L13" si="7">K20*0.28</f>
        <v>65.856000000000009</v>
      </c>
      <c r="M13" s="9">
        <f t="shared" ref="M13:M14" si="8">K20*0.12</f>
        <v>28.223999999999997</v>
      </c>
    </row>
    <row r="14" spans="1:15" ht="30.75" thickBot="1" x14ac:dyDescent="0.25">
      <c r="A14" s="8" t="s">
        <v>1</v>
      </c>
      <c r="B14" s="9">
        <f>B21*(E9*0.01)</f>
        <v>188.16</v>
      </c>
      <c r="C14" s="9">
        <f>B21*0.28</f>
        <v>87.808000000000021</v>
      </c>
      <c r="D14" s="9">
        <f>B21*0.12</f>
        <v>37.631999999999998</v>
      </c>
      <c r="E14" s="9">
        <f t="shared" ref="E14" si="9">E21*0.6</f>
        <v>243.6</v>
      </c>
      <c r="F14" s="9">
        <f t="shared" ref="F14" si="10">E21*0.28</f>
        <v>113.68</v>
      </c>
      <c r="G14" s="9">
        <f t="shared" si="2"/>
        <v>48.72</v>
      </c>
      <c r="H14" s="9">
        <f t="shared" ref="H14" si="11">H21*0.6</f>
        <v>361.91999999999996</v>
      </c>
      <c r="I14" s="9">
        <f t="shared" ref="I14" si="12">H21*0.28</f>
        <v>168.89599999999999</v>
      </c>
      <c r="J14" s="9">
        <f t="shared" si="5"/>
        <v>72.383999999999986</v>
      </c>
      <c r="K14" s="9">
        <f t="shared" ref="K14" si="13">K21*0.6</f>
        <v>83.52</v>
      </c>
      <c r="L14" s="9">
        <f t="shared" ref="L14" si="14">K21*0.28</f>
        <v>38.975999999999999</v>
      </c>
      <c r="M14" s="9">
        <f t="shared" si="8"/>
        <v>16.703999999999997</v>
      </c>
      <c r="O14" s="5"/>
    </row>
    <row r="15" spans="1:15" ht="30" x14ac:dyDescent="0.2">
      <c r="A15" s="8" t="s">
        <v>3</v>
      </c>
      <c r="B15" s="9">
        <f>B22*(H9*0.01)</f>
        <v>73.92</v>
      </c>
      <c r="C15" s="9">
        <f>B22*0.28</f>
        <v>34.496000000000002</v>
      </c>
      <c r="D15" s="9">
        <f>B22*0.12</f>
        <v>14.783999999999999</v>
      </c>
      <c r="E15" s="9">
        <f t="shared" ref="E15" si="15">E22*0.72</f>
        <v>110.88</v>
      </c>
      <c r="F15" s="9">
        <f t="shared" ref="F15" si="16">E22*0.28</f>
        <v>43.120000000000005</v>
      </c>
      <c r="G15" s="9">
        <f>E22*0.12</f>
        <v>18.48</v>
      </c>
      <c r="H15" s="9">
        <f t="shared" ref="H15" si="17">H22*0.72</f>
        <v>164.73599999999999</v>
      </c>
      <c r="I15" s="9">
        <f t="shared" ref="I15" si="18">H22*0.28</f>
        <v>64.064000000000007</v>
      </c>
      <c r="J15" s="9">
        <f>H22*0.12</f>
        <v>27.456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>
        <f>K22*0.12</f>
        <v>6.3359999999999994</v>
      </c>
    </row>
    <row r="16" spans="1:15" ht="30" x14ac:dyDescent="0.2">
      <c r="A16" s="8" t="s">
        <v>2</v>
      </c>
      <c r="B16" s="9">
        <f>B23*(K9*0.01)</f>
        <v>73.92</v>
      </c>
      <c r="C16" s="9">
        <f>B23*0.28</f>
        <v>34.496000000000002</v>
      </c>
      <c r="D16" s="9">
        <f>B23*0.12</f>
        <v>14.783999999999999</v>
      </c>
      <c r="E16" s="9">
        <f t="shared" ref="E16" si="21">E23*0.72</f>
        <v>110.88</v>
      </c>
      <c r="F16" s="9">
        <f t="shared" ref="F16" si="22">E23*0.28</f>
        <v>43.120000000000005</v>
      </c>
      <c r="G16" s="9">
        <f>E23*0.12</f>
        <v>18.48</v>
      </c>
      <c r="H16" s="9">
        <f t="shared" ref="H16" si="23">H23*0.72</f>
        <v>164.73599999999999</v>
      </c>
      <c r="I16" s="9">
        <f t="shared" ref="I16" si="24">H23*0.28</f>
        <v>64.064000000000007</v>
      </c>
      <c r="J16" s="9">
        <f>H23*0.12</f>
        <v>27.456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>
        <f>K23*0.12</f>
        <v>6.3359999999999994</v>
      </c>
    </row>
    <row r="17" spans="1:13" ht="18" customHeight="1" x14ac:dyDescent="0.2">
      <c r="A17" s="9" t="s">
        <v>4</v>
      </c>
      <c r="B17" s="477">
        <v>220</v>
      </c>
      <c r="C17" s="477"/>
      <c r="D17" s="477"/>
      <c r="E17" s="477">
        <v>300</v>
      </c>
      <c r="F17" s="477"/>
      <c r="G17" s="477"/>
      <c r="H17" s="477">
        <v>360</v>
      </c>
      <c r="I17" s="477"/>
      <c r="J17" s="477"/>
      <c r="K17" s="477">
        <v>120</v>
      </c>
      <c r="L17" s="477"/>
      <c r="M17" s="477"/>
    </row>
    <row r="19" spans="1:13" ht="36" x14ac:dyDescent="0.2">
      <c r="C19" s="66">
        <v>1400</v>
      </c>
      <c r="F19" s="66">
        <v>1750</v>
      </c>
      <c r="I19" s="66">
        <v>2600</v>
      </c>
      <c r="L19" s="66">
        <v>600</v>
      </c>
    </row>
    <row r="20" spans="1:13" ht="18.75" thickBot="1" x14ac:dyDescent="0.25">
      <c r="A20" s="4" t="s">
        <v>0</v>
      </c>
      <c r="B20" s="51">
        <f>(C19*0.8)*(B4*0.01)</f>
        <v>548.79999999999995</v>
      </c>
      <c r="C20" s="51"/>
      <c r="D20" s="51"/>
      <c r="E20" s="51">
        <f t="shared" ref="E20" si="27">(F19*0.8)*0.49</f>
        <v>686</v>
      </c>
      <c r="F20" s="51"/>
      <c r="G20" s="51"/>
      <c r="H20" s="51">
        <f t="shared" ref="H20" si="28">(I19*0.8)*0.49</f>
        <v>1019.1999999999999</v>
      </c>
      <c r="I20" s="51"/>
      <c r="J20" s="51"/>
      <c r="K20" s="51">
        <f t="shared" ref="K20" si="29">(L19*0.8)*0.49</f>
        <v>235.2</v>
      </c>
      <c r="L20" s="51"/>
      <c r="M20" s="51"/>
    </row>
    <row r="21" spans="1:13" ht="18.75" thickBot="1" x14ac:dyDescent="0.25">
      <c r="A21" s="4" t="s">
        <v>1</v>
      </c>
      <c r="B21" s="51">
        <f>(C19*0.8)*(D4*0.01)</f>
        <v>313.60000000000002</v>
      </c>
      <c r="C21" s="51"/>
      <c r="D21" s="51"/>
      <c r="E21" s="51">
        <f t="shared" ref="E21" si="30">(F19*0.8)*0.29</f>
        <v>406</v>
      </c>
      <c r="F21" s="51"/>
      <c r="G21" s="51"/>
      <c r="H21" s="51">
        <f t="shared" ref="H21" si="31">(I19*0.8)*0.29</f>
        <v>603.19999999999993</v>
      </c>
      <c r="I21" s="51"/>
      <c r="J21" s="51"/>
      <c r="K21" s="51">
        <f t="shared" ref="K21" si="32">(L19*0.8)*0.29</f>
        <v>139.19999999999999</v>
      </c>
      <c r="L21" s="51"/>
      <c r="M21" s="51"/>
    </row>
    <row r="22" spans="1:13" ht="18.75" thickBot="1" x14ac:dyDescent="0.25">
      <c r="A22" s="4" t="s">
        <v>3</v>
      </c>
      <c r="B22" s="51">
        <f>(C19*0.8)*(F4*0.01)</f>
        <v>123.2</v>
      </c>
      <c r="C22" s="51"/>
      <c r="D22" s="51"/>
      <c r="E22" s="51">
        <f t="shared" ref="E22" si="33">(F19*0.8)*0.11</f>
        <v>154</v>
      </c>
      <c r="F22" s="51"/>
      <c r="G22" s="51"/>
      <c r="H22" s="51">
        <f t="shared" ref="H22" si="34">(I19*0.8)*0.11</f>
        <v>228.8</v>
      </c>
      <c r="I22" s="51"/>
      <c r="J22" s="51"/>
      <c r="K22" s="51">
        <f t="shared" ref="K22" si="35">(L19*0.8)*0.11</f>
        <v>52.8</v>
      </c>
      <c r="L22" s="51"/>
      <c r="M22" s="51"/>
    </row>
    <row r="23" spans="1:13" ht="18.75" thickBot="1" x14ac:dyDescent="0.25">
      <c r="A23" s="4" t="s">
        <v>2</v>
      </c>
      <c r="B23" s="51">
        <f>(C19*0.8)*(H4*0.01)</f>
        <v>123.2</v>
      </c>
      <c r="C23" s="51"/>
      <c r="D23" s="51"/>
      <c r="E23" s="51">
        <f t="shared" ref="E23" si="36">(F19*0.8)*0.11</f>
        <v>154</v>
      </c>
      <c r="F23" s="51"/>
      <c r="G23" s="51"/>
      <c r="H23" s="51">
        <f t="shared" ref="H23" si="37">(I19*0.8)*0.11</f>
        <v>228.8</v>
      </c>
      <c r="I23" s="51"/>
      <c r="J23" s="51"/>
      <c r="K23" s="51">
        <f t="shared" ref="K23" si="38">(L19*0.8)*0.11</f>
        <v>52.8</v>
      </c>
      <c r="L23" s="51"/>
      <c r="M23" s="51"/>
    </row>
    <row r="24" spans="1:13" ht="15.75" thickBot="1" x14ac:dyDescent="0.25">
      <c r="A24" s="6" t="s">
        <v>4</v>
      </c>
      <c r="B24" s="51">
        <f>(C19*0.2)</f>
        <v>280</v>
      </c>
      <c r="C24" s="51"/>
      <c r="D24" s="51"/>
      <c r="E24" s="51">
        <f t="shared" ref="E24" si="39">(F19*0.2)</f>
        <v>350</v>
      </c>
      <c r="F24" s="51"/>
      <c r="G24" s="51"/>
      <c r="H24" s="51">
        <f t="shared" ref="H24" si="40">(I19*0.2)</f>
        <v>520</v>
      </c>
      <c r="I24" s="51"/>
      <c r="J24" s="51"/>
      <c r="K24" s="51">
        <f t="shared" ref="K24" si="41">(L19*0.2)</f>
        <v>120</v>
      </c>
      <c r="L24" s="51"/>
      <c r="M24" s="51"/>
    </row>
  </sheetData>
  <mergeCells count="27">
    <mergeCell ref="H4:I4"/>
    <mergeCell ref="B6:J6"/>
    <mergeCell ref="B3:C3"/>
    <mergeCell ref="D3:E3"/>
    <mergeCell ref="F3:G3"/>
    <mergeCell ref="H3:I3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A11:A12"/>
    <mergeCell ref="B11:D11"/>
    <mergeCell ref="E11:G11"/>
    <mergeCell ref="H11:J11"/>
    <mergeCell ref="K11:M1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5" defaultRowHeight="14.25" x14ac:dyDescent="0.2"/>
  <cols>
    <col min="1" max="1" width="11.5" style="155" customWidth="1"/>
    <col min="2" max="2" width="13.5" style="155" customWidth="1"/>
    <col min="3" max="3" width="14.625" style="155" customWidth="1"/>
    <col min="4" max="4" width="14" style="155" customWidth="1"/>
    <col min="5" max="5" width="14.125" style="155" customWidth="1"/>
    <col min="6" max="6" width="14.5" style="155" customWidth="1"/>
    <col min="7" max="7" width="13.125" style="155" customWidth="1"/>
    <col min="8" max="8" width="13.5" style="155" customWidth="1"/>
    <col min="9" max="10" width="10.875" style="155" customWidth="1"/>
    <col min="11" max="11" width="2.5" style="155" customWidth="1"/>
    <col min="12" max="12" width="16.5" style="155" customWidth="1"/>
    <col min="13" max="13" width="11.5" style="155" customWidth="1"/>
    <col min="14" max="14" width="10.75" style="155" customWidth="1"/>
    <col min="15" max="15" width="10.625" style="155" customWidth="1"/>
    <col min="16" max="16" width="12.5" style="155" customWidth="1"/>
    <col min="17" max="18" width="9.5" style="155" customWidth="1"/>
    <col min="19" max="19" width="9.25" style="155" customWidth="1"/>
    <col min="20" max="20" width="9.75" style="155" customWidth="1"/>
    <col min="21" max="21" width="8.5" style="155" customWidth="1"/>
    <col min="22" max="22" width="9.375" style="155" customWidth="1"/>
    <col min="23" max="26" width="4.5" style="155" customWidth="1"/>
    <col min="27" max="16384" width="8.75" style="155"/>
  </cols>
  <sheetData>
    <row r="1" spans="1:25" ht="18" customHeight="1" x14ac:dyDescent="0.2">
      <c r="A1" s="482" t="s">
        <v>45</v>
      </c>
      <c r="B1" s="483"/>
      <c r="C1" s="36" t="s">
        <v>9</v>
      </c>
      <c r="D1" s="142"/>
      <c r="E1" s="74" t="s">
        <v>48</v>
      </c>
      <c r="F1" s="484" t="s">
        <v>72</v>
      </c>
      <c r="G1" s="485"/>
      <c r="H1" s="74" t="s">
        <v>43</v>
      </c>
      <c r="I1" s="484" t="s">
        <v>65</v>
      </c>
      <c r="J1" s="485"/>
      <c r="L1" s="335" t="s">
        <v>10</v>
      </c>
      <c r="M1" s="336"/>
    </row>
    <row r="2" spans="1:25" ht="15.75" customHeight="1" x14ac:dyDescent="0.2">
      <c r="A2" s="486" t="s">
        <v>27</v>
      </c>
      <c r="B2" s="487"/>
      <c r="C2" s="488">
        <f>IF(AND(A2="سكن وجمعيات"),(M8),IF(AND(A2="تجارة وسكن"),(M9),IF(AND(A2="منشأت خاصة"),(M10),IF(AND(A2="سكن ريفي"),(M11)))))</f>
        <v>900</v>
      </c>
      <c r="D2" s="139"/>
      <c r="E2" s="74" t="s">
        <v>24</v>
      </c>
      <c r="F2" s="484" t="s">
        <v>64</v>
      </c>
      <c r="G2" s="485"/>
      <c r="H2" s="74" t="s">
        <v>42</v>
      </c>
      <c r="I2" s="484">
        <v>29</v>
      </c>
      <c r="J2" s="485"/>
      <c r="L2" s="159" t="s">
        <v>59</v>
      </c>
      <c r="M2" s="159" t="s">
        <v>9</v>
      </c>
    </row>
    <row r="3" spans="1:25" ht="15" customHeight="1" x14ac:dyDescent="0.25">
      <c r="A3" s="486"/>
      <c r="B3" s="487"/>
      <c r="C3" s="488"/>
      <c r="D3" s="18"/>
      <c r="E3" s="75" t="s">
        <v>28</v>
      </c>
      <c r="F3" s="82">
        <v>11</v>
      </c>
      <c r="G3" s="72"/>
      <c r="H3" s="75" t="s">
        <v>156</v>
      </c>
      <c r="I3" s="82">
        <v>100</v>
      </c>
      <c r="J3" s="113">
        <f>IF(AND(I3&gt;=1,I3&lt;=4),M15,IF(AND(I3&gt;4,I3&lt;=4.5),M16,IF(AND(I3&gt;4.5,I3&lt;=5),M17,IF(AND(I3&gt;5,I3&lt;=5.5),M18,IF(AND(I3&gt;5.5,I3&lt;=6),M19,IF(AND(I3&gt;6,I3&lt;=6.5),'اتعاب 2021'!M47,IF(AND(I3&gt;6.5,I3&lt;=22),'اتعاب 2021'!M48,IF(AND(I3&gt;22,I3&lt;=45),'اتعاب 2021'!M49,IF(AND(I3&gt;45,I3&lt;=90),'اتعاب 2021'!M50,IF(AND(I3&gt;90,I3&lt;=200),'اتعاب 2021'!M51,IF(AND(I3&gt;200,I3&lt;=1000),'اتعاب 2021'!M52)))))))))))</f>
        <v>100000</v>
      </c>
      <c r="L3" s="70" t="s">
        <v>60</v>
      </c>
      <c r="M3" s="70">
        <v>20000</v>
      </c>
    </row>
    <row r="4" spans="1:25" ht="9.75" customHeight="1" x14ac:dyDescent="0.2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61</v>
      </c>
      <c r="M4" s="70">
        <v>30000</v>
      </c>
    </row>
    <row r="5" spans="1:25" ht="12.75" customHeight="1" x14ac:dyDescent="0.2">
      <c r="A5" s="364" t="s">
        <v>12</v>
      </c>
      <c r="B5" s="364"/>
      <c r="C5" s="480">
        <v>0</v>
      </c>
      <c r="D5" s="379" t="s">
        <v>35</v>
      </c>
      <c r="E5" s="481">
        <v>0</v>
      </c>
      <c r="F5" s="379" t="s">
        <v>17</v>
      </c>
      <c r="G5" s="481">
        <v>0</v>
      </c>
      <c r="H5" s="348">
        <f>IF(AND(G5 =0),0,IF(AND(G5 =1),15000,IF(AND(G5=2),30000,IF(AND(G5 =3),45000,IF(AND(G5 =4),60000,)))))</f>
        <v>0</v>
      </c>
      <c r="I5" s="381"/>
      <c r="J5" s="345"/>
      <c r="L5" s="70" t="s">
        <v>62</v>
      </c>
      <c r="M5" s="70">
        <v>40000</v>
      </c>
    </row>
    <row r="6" spans="1:25" ht="12.75" customHeight="1" x14ac:dyDescent="0.2">
      <c r="A6" s="364"/>
      <c r="B6" s="364"/>
      <c r="C6" s="480"/>
      <c r="D6" s="380"/>
      <c r="E6" s="481"/>
      <c r="F6" s="379"/>
      <c r="G6" s="481"/>
      <c r="H6" s="348"/>
      <c r="I6" s="381"/>
      <c r="J6" s="345"/>
    </row>
    <row r="7" spans="1:25" ht="17.25" customHeight="1" x14ac:dyDescent="0.2">
      <c r="A7" s="489" t="s">
        <v>153</v>
      </c>
      <c r="B7" s="489"/>
      <c r="C7" s="16" t="s">
        <v>127</v>
      </c>
      <c r="D7" s="16" t="s">
        <v>132</v>
      </c>
      <c r="E7" s="16" t="s">
        <v>142</v>
      </c>
      <c r="F7" s="16" t="s">
        <v>137</v>
      </c>
      <c r="G7" s="16" t="s">
        <v>147</v>
      </c>
      <c r="H7" s="16" t="s">
        <v>147</v>
      </c>
      <c r="I7" s="493" t="s">
        <v>49</v>
      </c>
      <c r="J7" s="493" t="s">
        <v>50</v>
      </c>
      <c r="L7" s="360" t="s">
        <v>66</v>
      </c>
      <c r="M7" s="360"/>
    </row>
    <row r="8" spans="1:25" ht="17.25" customHeight="1" x14ac:dyDescent="0.2">
      <c r="A8" s="496" t="s">
        <v>40</v>
      </c>
      <c r="B8" s="497"/>
      <c r="C8" s="16" t="s">
        <v>55</v>
      </c>
      <c r="D8" s="16" t="s">
        <v>77</v>
      </c>
      <c r="E8" s="16" t="s">
        <v>118</v>
      </c>
      <c r="F8" s="16" t="s">
        <v>109</v>
      </c>
      <c r="G8" s="16" t="s">
        <v>123</v>
      </c>
      <c r="H8" s="16" t="s">
        <v>124</v>
      </c>
      <c r="I8" s="494"/>
      <c r="J8" s="494"/>
      <c r="L8" s="78" t="s">
        <v>27</v>
      </c>
      <c r="M8" s="78">
        <v>900</v>
      </c>
      <c r="P8" s="354" t="s">
        <v>25</v>
      </c>
      <c r="Q8" s="354"/>
      <c r="R8" s="354"/>
      <c r="S8" s="354"/>
      <c r="T8" s="354"/>
      <c r="U8" s="354"/>
      <c r="V8" s="354"/>
      <c r="W8" s="354"/>
      <c r="X8" s="354"/>
      <c r="Y8" s="354"/>
    </row>
    <row r="9" spans="1:25" ht="17.25" customHeight="1" x14ac:dyDescent="0.2">
      <c r="A9" s="489" t="s">
        <v>152</v>
      </c>
      <c r="B9" s="489"/>
      <c r="C9" s="131" t="s">
        <v>173</v>
      </c>
      <c r="D9" s="131" t="s">
        <v>175</v>
      </c>
      <c r="E9" s="131" t="s">
        <v>176</v>
      </c>
      <c r="F9" s="131" t="s">
        <v>175</v>
      </c>
      <c r="G9" s="131" t="s">
        <v>176</v>
      </c>
      <c r="H9" s="131" t="s">
        <v>172</v>
      </c>
      <c r="I9" s="495"/>
      <c r="J9" s="495"/>
      <c r="L9" s="78" t="s">
        <v>67</v>
      </c>
      <c r="M9" s="78">
        <v>1300</v>
      </c>
      <c r="P9" s="354"/>
      <c r="Q9" s="354"/>
      <c r="R9" s="354"/>
      <c r="S9" s="354"/>
      <c r="T9" s="354"/>
      <c r="U9" s="354"/>
      <c r="V9" s="354"/>
      <c r="W9" s="354"/>
      <c r="X9" s="354"/>
      <c r="Y9" s="354"/>
    </row>
    <row r="10" spans="1:25" ht="17.25" customHeight="1" x14ac:dyDescent="0.2">
      <c r="A10" s="490" t="s">
        <v>9</v>
      </c>
      <c r="B10" s="491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68</v>
      </c>
      <c r="M10" s="78">
        <v>1600</v>
      </c>
      <c r="P10" s="38" t="s">
        <v>48</v>
      </c>
      <c r="Q10" s="317" t="str">
        <f>F1</f>
        <v>سامي  يوسف</v>
      </c>
      <c r="R10" s="317"/>
      <c r="S10" s="39" t="s">
        <v>23</v>
      </c>
      <c r="T10" s="319" t="str">
        <f>A2</f>
        <v>سكن وجمعيات</v>
      </c>
      <c r="U10" s="319"/>
      <c r="V10" s="38" t="s">
        <v>26</v>
      </c>
      <c r="W10" s="492">
        <f>C5</f>
        <v>0</v>
      </c>
      <c r="X10" s="492"/>
      <c r="Y10" s="41" t="s">
        <v>41</v>
      </c>
    </row>
    <row r="11" spans="1:25" ht="18" x14ac:dyDescent="0.25">
      <c r="A11" s="489" t="s">
        <v>5</v>
      </c>
      <c r="B11" s="489"/>
      <c r="C11" s="153">
        <f>C5*C10*0.6</f>
        <v>0</v>
      </c>
      <c r="D11" s="153">
        <f>C5*D10*0.6</f>
        <v>0</v>
      </c>
      <c r="E11" s="153">
        <f>(E10*0.72*C5)+(H5*0.8)+(J3*0.8)</f>
        <v>80000</v>
      </c>
      <c r="F11" s="153">
        <f>(F10*0.72*C5)+(H5*0.8)+(J3*0.8)</f>
        <v>80000</v>
      </c>
      <c r="G11" s="154">
        <f>G10*0.8</f>
        <v>0</v>
      </c>
      <c r="H11" s="154">
        <f>H10*0.8</f>
        <v>0</v>
      </c>
      <c r="I11" s="154"/>
      <c r="J11" s="154"/>
      <c r="L11" s="78" t="s">
        <v>69</v>
      </c>
      <c r="M11" s="78">
        <v>600</v>
      </c>
      <c r="P11" s="149"/>
      <c r="Q11" s="122"/>
      <c r="R11" s="122"/>
      <c r="S11" s="149"/>
      <c r="T11" s="149"/>
      <c r="U11" s="149"/>
      <c r="V11" s="149"/>
      <c r="W11" s="37"/>
      <c r="X11" s="150"/>
    </row>
    <row r="12" spans="1:25" ht="18" x14ac:dyDescent="0.2">
      <c r="A12" s="489" t="s">
        <v>7</v>
      </c>
      <c r="B12" s="489"/>
      <c r="C12" s="153">
        <f>IF(AND(C9=L14),(C11*0.2),IF(AND(C9=L15),(C11*0.4),IF(AND(C9=L16),(C11*0.5),IF(AND(C9=L17),(C11*0.5),IF(AND(C9=L18),(C11*0.7),IF(AND(C9=L19),(C11*0.8)))))))</f>
        <v>0</v>
      </c>
      <c r="D12" s="153">
        <f>IF(AND(D9=L14),(D11*0.2),IF(AND(D9=L15),(D11*0.4),IF(AND(D9=L16),(D11*0.5),IF(AND(D9=L17),(D11*0.5),IF(AND(D9=L18),(D11*0.7),IF(AND(D9=L19),(D11*0.8)))))))</f>
        <v>0</v>
      </c>
      <c r="E12" s="153">
        <f>IF(AND(E9=L14),(E11*0.2),IF(AND(E9=L15),(E11*0.4),IF(AND(E9=L16),(E11*0.5),IF(AND(E9=L17),(E11*0.5),IF(AND(E9=L18),(E11*0.7),IF(AND(E9=L19),(E11*0.8)))))))</f>
        <v>64000</v>
      </c>
      <c r="F12" s="153">
        <f>IF(AND(F9=L14),(F11*0.2),IF(AND(F9=L15),(F11*0.4),IF(AND(F9=L16),(F11*0.5),IF(AND(F9=L17),(F11*0.5),IF(AND(F9=L18),(F11*0.7),IF(AND(F9=L19),(F11*0.8)))))))</f>
        <v>40000</v>
      </c>
      <c r="G12" s="153">
        <f>IF(AND(G9=L14),(G11*0.2),IF(AND(G9=L15),(G11*0.4),IF(AND(G9=L16),(G11*0.5),IF(AND(G9=L17),(G11*0.5),IF(AND(G9=L18),(G11*0.7),IF(AND(G9=L19),(G11*0.8)))))))</f>
        <v>0</v>
      </c>
      <c r="H12" s="153">
        <f>IF(AND(H9=L14),(H11*0.2),IF(AND(H9=L15),(H11*0.4),IF(AND(H9=L16),(H11*0.5),IF(AND(H9=L17),(H11*0.5),IF(AND(H9=L18),(H11*0.7),IF(AND(H9=L19),(H11*0.8)))))))</f>
        <v>0</v>
      </c>
      <c r="I12" s="154"/>
      <c r="J12" s="154"/>
      <c r="P12" s="334" t="s">
        <v>75</v>
      </c>
      <c r="Q12" s="334"/>
      <c r="R12" s="85">
        <f>C25</f>
        <v>202000</v>
      </c>
      <c r="S12" s="84" t="s">
        <v>76</v>
      </c>
      <c r="U12" s="39" t="s">
        <v>169</v>
      </c>
      <c r="V12" s="155">
        <f>E5</f>
        <v>0</v>
      </c>
      <c r="W12" s="41" t="s">
        <v>41</v>
      </c>
    </row>
    <row r="13" spans="1:25" ht="14.25" customHeight="1" x14ac:dyDescent="0.2">
      <c r="A13" s="489" t="s">
        <v>11</v>
      </c>
      <c r="B13" s="489"/>
      <c r="C13" s="153">
        <f>C11-C12</f>
        <v>0</v>
      </c>
      <c r="D13" s="153">
        <f>D11-D12</f>
        <v>0</v>
      </c>
      <c r="E13" s="153">
        <f>E11-E12</f>
        <v>16000</v>
      </c>
      <c r="F13" s="153">
        <f>F11-F12</f>
        <v>40000</v>
      </c>
      <c r="G13" s="153">
        <f t="shared" ref="G13:H13" si="0">G11-G12</f>
        <v>0</v>
      </c>
      <c r="H13" s="153">
        <f t="shared" si="0"/>
        <v>0</v>
      </c>
      <c r="I13" s="154"/>
      <c r="J13" s="154"/>
      <c r="L13" s="323" t="s">
        <v>170</v>
      </c>
      <c r="M13" s="323"/>
      <c r="P13" s="149"/>
      <c r="Q13" s="149"/>
      <c r="R13" s="149"/>
      <c r="S13" s="149"/>
      <c r="T13" s="39"/>
      <c r="W13" s="149"/>
      <c r="X13" s="150"/>
    </row>
    <row r="14" spans="1:25" ht="15.75" customHeight="1" x14ac:dyDescent="0.25">
      <c r="A14" s="489" t="s">
        <v>6</v>
      </c>
      <c r="B14" s="489"/>
      <c r="C14" s="153">
        <f>C5*C10*0.28</f>
        <v>0</v>
      </c>
      <c r="D14" s="153">
        <f>C5*D10*0.28</f>
        <v>0</v>
      </c>
      <c r="E14" s="153">
        <f>E10*0.28*C5</f>
        <v>0</v>
      </c>
      <c r="F14" s="153">
        <f>F10*0.28*C5</f>
        <v>0</v>
      </c>
      <c r="G14" s="154"/>
      <c r="H14" s="154"/>
      <c r="I14" s="154"/>
      <c r="J14" s="154"/>
      <c r="L14" s="78" t="s">
        <v>173</v>
      </c>
      <c r="M14" s="78">
        <v>0.2</v>
      </c>
      <c r="Q14" s="40" t="s">
        <v>28</v>
      </c>
      <c r="R14" s="86">
        <f>F3</f>
        <v>11</v>
      </c>
      <c r="T14" s="38" t="s">
        <v>168</v>
      </c>
      <c r="U14" s="498">
        <f ca="1">TODAY()</f>
        <v>46205</v>
      </c>
      <c r="V14" s="498"/>
    </row>
    <row r="15" spans="1:25" ht="18" customHeight="1" x14ac:dyDescent="0.2">
      <c r="A15" s="489" t="s">
        <v>13</v>
      </c>
      <c r="B15" s="489"/>
      <c r="C15" s="153"/>
      <c r="D15" s="153"/>
      <c r="E15" s="153">
        <f>IF(AND(E9=L14),(H5*0.2*0.8),IF(AND(E9=L15),(H5*0.4*0.8),IF(AND(E9=L16),(H5*0.5*0.8),IF(AND(E9=L17),(H5*0.5*0.8),IF(AND(E9=L18),(H5*0.7*0.8),IF(AND(E9=L19),(H5*0.8*0.8)))))))</f>
        <v>0</v>
      </c>
      <c r="F15" s="153">
        <f>IF(AND(F9=L14),(H5*0.2*0.8),IF(AND(F9=L15),(H5*0.4*0.8),IF(AND(F9=L16),(H5*0.5*0.8),IF(AND(F9=L17),(H5*0.5*0.8),IF(AND(F9=L18),(H5*0.7*0.8),IF(AND(F9=L19),(H5*0.8*0.8)))))))</f>
        <v>0</v>
      </c>
      <c r="G15" s="154"/>
      <c r="H15" s="154"/>
      <c r="I15" s="154"/>
      <c r="J15" s="154"/>
      <c r="L15" s="78" t="s">
        <v>174</v>
      </c>
      <c r="M15" s="78">
        <v>0.4</v>
      </c>
      <c r="P15" s="149"/>
      <c r="Q15" s="149"/>
      <c r="R15" s="149"/>
      <c r="S15" s="149"/>
      <c r="T15" s="149"/>
      <c r="U15" s="149"/>
      <c r="V15" s="149"/>
      <c r="W15" s="149"/>
    </row>
    <row r="16" spans="1:25" ht="18" customHeight="1" x14ac:dyDescent="0.2">
      <c r="A16" s="489" t="s">
        <v>73</v>
      </c>
      <c r="B16" s="489"/>
      <c r="C16" s="103">
        <v>0</v>
      </c>
      <c r="D16" s="103">
        <v>0</v>
      </c>
      <c r="E16" s="103">
        <v>1000</v>
      </c>
      <c r="F16" s="103">
        <v>1000</v>
      </c>
      <c r="G16" s="102"/>
      <c r="H16" s="102"/>
      <c r="I16" s="154"/>
      <c r="J16" s="154"/>
      <c r="L16" s="78" t="s">
        <v>175</v>
      </c>
      <c r="M16" s="78">
        <v>0.5</v>
      </c>
      <c r="P16" s="39" t="s">
        <v>24</v>
      </c>
      <c r="Q16" s="317" t="str">
        <f>F2</f>
        <v>قامشلي - سابعة</v>
      </c>
      <c r="R16" s="317"/>
      <c r="S16" s="38" t="s">
        <v>43</v>
      </c>
      <c r="T16" s="317" t="str">
        <f>I1</f>
        <v>جزء من العقار 10</v>
      </c>
      <c r="U16" s="317"/>
      <c r="V16" s="39" t="s">
        <v>42</v>
      </c>
      <c r="W16" s="317">
        <f>I2</f>
        <v>29</v>
      </c>
      <c r="X16" s="317"/>
    </row>
    <row r="17" spans="1:47" ht="19.5" customHeight="1" x14ac:dyDescent="0.2">
      <c r="A17" s="489" t="s">
        <v>74</v>
      </c>
      <c r="B17" s="489"/>
      <c r="C17" s="153">
        <f>C14+C13</f>
        <v>0</v>
      </c>
      <c r="D17" s="153">
        <f>D14+D13</f>
        <v>0</v>
      </c>
      <c r="E17" s="153">
        <f>E13+E14+E15</f>
        <v>16000</v>
      </c>
      <c r="F17" s="153">
        <f>F13+F14+F15</f>
        <v>40000</v>
      </c>
      <c r="G17" s="153">
        <f>G13+G16</f>
        <v>0</v>
      </c>
      <c r="H17" s="154">
        <f>H13+H16</f>
        <v>0</v>
      </c>
      <c r="I17" s="154"/>
      <c r="J17" s="154"/>
      <c r="L17" s="78" t="s">
        <v>171</v>
      </c>
      <c r="M17" s="78">
        <v>0.5</v>
      </c>
    </row>
    <row r="18" spans="1:47" ht="21.75" customHeight="1" x14ac:dyDescent="0.2">
      <c r="A18" s="496" t="s">
        <v>40</v>
      </c>
      <c r="B18" s="497"/>
      <c r="C18" s="16" t="s">
        <v>55</v>
      </c>
      <c r="D18" s="16" t="s">
        <v>56</v>
      </c>
      <c r="E18" s="153"/>
      <c r="F18" s="153"/>
      <c r="G18" s="154"/>
      <c r="H18" s="154"/>
      <c r="I18" s="154"/>
      <c r="J18" s="154"/>
      <c r="L18" s="78" t="s">
        <v>172</v>
      </c>
      <c r="M18" s="78">
        <v>0.7</v>
      </c>
      <c r="P18" s="28"/>
      <c r="Q18" s="136" t="str">
        <f t="shared" ref="Q18:V18" si="1">C9</f>
        <v>خارج الصندوق20%</v>
      </c>
      <c r="R18" s="136" t="str">
        <f t="shared" si="1"/>
        <v>خارج الصندوق50%</v>
      </c>
      <c r="S18" s="136" t="str">
        <f t="shared" si="1"/>
        <v>داخل الصندوق80%</v>
      </c>
      <c r="T18" s="136" t="str">
        <f t="shared" si="1"/>
        <v>خارج الصندوق50%</v>
      </c>
      <c r="U18" s="136" t="str">
        <f t="shared" si="1"/>
        <v>داخل الصندوق80%</v>
      </c>
      <c r="V18" s="136" t="str">
        <f t="shared" si="1"/>
        <v>داخل الصندوق 70%</v>
      </c>
      <c r="W18" s="499" t="s">
        <v>49</v>
      </c>
      <c r="X18" s="500"/>
      <c r="Y18" s="499" t="s">
        <v>50</v>
      </c>
      <c r="Z18" s="500"/>
    </row>
    <row r="19" spans="1:47" ht="19.5" customHeight="1" x14ac:dyDescent="0.2">
      <c r="A19" s="147"/>
      <c r="B19" s="148"/>
      <c r="C19" s="131" t="s">
        <v>173</v>
      </c>
      <c r="D19" s="131" t="s">
        <v>172</v>
      </c>
      <c r="E19" s="153"/>
      <c r="F19" s="153"/>
      <c r="G19" s="154"/>
      <c r="H19" s="154"/>
      <c r="I19" s="154"/>
      <c r="J19" s="154"/>
      <c r="L19" s="78" t="s">
        <v>176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14">
        <f>I10</f>
        <v>20000</v>
      </c>
      <c r="X19" s="315"/>
      <c r="Y19" s="314">
        <f>W19</f>
        <v>20000</v>
      </c>
      <c r="Z19" s="315"/>
    </row>
    <row r="20" spans="1:47" ht="18" customHeight="1" x14ac:dyDescent="0.2">
      <c r="A20" s="489" t="s">
        <v>8</v>
      </c>
      <c r="B20" s="489"/>
      <c r="C20" s="153">
        <f>C5*C10*0.12</f>
        <v>0</v>
      </c>
      <c r="D20" s="153">
        <f>C5*D10*0.12</f>
        <v>0</v>
      </c>
      <c r="E20" s="153"/>
      <c r="F20" s="153"/>
      <c r="G20" s="154"/>
      <c r="H20" s="154"/>
      <c r="I20" s="154"/>
      <c r="J20" s="154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32" t="s">
        <v>46</v>
      </c>
      <c r="X20" s="333"/>
      <c r="Y20" s="332" t="s">
        <v>46</v>
      </c>
      <c r="Z20" s="333"/>
    </row>
    <row r="21" spans="1:47" ht="21" customHeight="1" x14ac:dyDescent="0.2">
      <c r="A21" s="489" t="s">
        <v>44</v>
      </c>
      <c r="B21" s="489"/>
      <c r="C21" s="153">
        <f>IF(AND(C19=L14),(C20*0.5),IF(AND(C19=L15),(C20*0.7),IF(AND(C19=L16),(C20*0.8),IF(AND(C19=L17),(C20*0.5),IF(AND(C19=L18),(C20*0.7),IF(AND(C19=L19),(C20*0.8)))))))</f>
        <v>0</v>
      </c>
      <c r="D21" s="153">
        <f>IF(AND(D19=L14),(D20*0.5),IF(AND(D19=L15),(D20*0.7),IF(AND(D19=L16),(D20*0.8),IF(AND(D19=L17),(D20*0.5),IF(AND(D19=L18),(D20*0.7),IF(AND(D19=L19),(D20*0.8)))))))</f>
        <v>0</v>
      </c>
      <c r="E21" s="153"/>
      <c r="F21" s="153"/>
      <c r="G21" s="154"/>
      <c r="H21" s="154"/>
      <c r="I21" s="154"/>
      <c r="J21" s="154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32" t="s">
        <v>46</v>
      </c>
      <c r="X21" s="333"/>
      <c r="Y21" s="332" t="s">
        <v>46</v>
      </c>
      <c r="Z21" s="333"/>
    </row>
    <row r="22" spans="1:47" ht="21" customHeight="1" x14ac:dyDescent="0.2">
      <c r="A22" s="489" t="s">
        <v>39</v>
      </c>
      <c r="B22" s="489"/>
      <c r="C22" s="153">
        <f>C20-C21</f>
        <v>0</v>
      </c>
      <c r="D22" s="153">
        <f>D20-D21</f>
        <v>0</v>
      </c>
      <c r="E22" s="153"/>
      <c r="F22" s="153"/>
      <c r="G22" s="154"/>
      <c r="H22" s="154"/>
      <c r="I22" s="154"/>
      <c r="J22" s="154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32" t="s">
        <v>46</v>
      </c>
      <c r="X22" s="333"/>
      <c r="Y22" s="332" t="s">
        <v>46</v>
      </c>
      <c r="Z22" s="333"/>
    </row>
    <row r="23" spans="1:47" ht="20.25" customHeight="1" x14ac:dyDescent="0.2">
      <c r="A23" s="447" t="s">
        <v>14</v>
      </c>
      <c r="B23" s="447"/>
      <c r="C23" s="135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32" t="s">
        <v>46</v>
      </c>
      <c r="X23" s="333"/>
      <c r="Y23" s="332" t="s">
        <v>46</v>
      </c>
      <c r="Z23" s="333"/>
    </row>
    <row r="24" spans="1:47" ht="18.75" customHeight="1" x14ac:dyDescent="0.2">
      <c r="A24" s="501" t="s">
        <v>15</v>
      </c>
      <c r="B24" s="501"/>
      <c r="C24" s="153">
        <f>SUM(C16:H16)</f>
        <v>2000</v>
      </c>
      <c r="D24" s="14"/>
      <c r="E24" s="14"/>
      <c r="F24" s="14"/>
      <c r="G24" s="14"/>
      <c r="H24" s="14"/>
      <c r="I24" s="14"/>
      <c r="J24" s="27"/>
      <c r="P24" s="156" t="s">
        <v>155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32" t="s">
        <v>46</v>
      </c>
      <c r="X24" s="333"/>
      <c r="Y24" s="332" t="s">
        <v>46</v>
      </c>
      <c r="Z24" s="333"/>
    </row>
    <row r="25" spans="1:47" ht="22.5" customHeight="1" x14ac:dyDescent="0.2">
      <c r="A25" s="440" t="s">
        <v>16</v>
      </c>
      <c r="B25" s="440"/>
      <c r="C25" s="152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177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7"/>
      <c r="X25" s="138"/>
      <c r="Y25" s="137"/>
      <c r="Z25" s="138"/>
    </row>
    <row r="26" spans="1:47" ht="21.75" customHeight="1" x14ac:dyDescent="0.2">
      <c r="A26" s="384"/>
      <c r="B26" s="384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32" t="s">
        <v>46</v>
      </c>
      <c r="X26" s="333"/>
      <c r="Y26" s="332" t="s">
        <v>46</v>
      </c>
      <c r="Z26" s="333"/>
    </row>
    <row r="27" spans="1:47" ht="20.25" customHeight="1" x14ac:dyDescent="0.2">
      <c r="A27" s="140"/>
      <c r="B27" s="140"/>
      <c r="C27" s="104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32" t="s">
        <v>46</v>
      </c>
      <c r="X27" s="333"/>
      <c r="Y27" s="332" t="s">
        <v>46</v>
      </c>
      <c r="Z27" s="333"/>
    </row>
    <row r="28" spans="1:47" ht="24" customHeight="1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60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32" t="s">
        <v>46</v>
      </c>
      <c r="X28" s="333"/>
      <c r="Y28" s="332" t="s">
        <v>46</v>
      </c>
      <c r="Z28" s="333"/>
    </row>
    <row r="29" spans="1:47" s="12" customFormat="1" ht="27" customHeight="1" x14ac:dyDescent="0.2">
      <c r="J29" s="13"/>
      <c r="K29" s="160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32" t="s">
        <v>46</v>
      </c>
      <c r="X29" s="333"/>
      <c r="Y29" s="332" t="s">
        <v>46</v>
      </c>
      <c r="Z29" s="333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">
      <c r="J30" s="13"/>
      <c r="K30" s="160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32" t="s">
        <v>46</v>
      </c>
      <c r="X30" s="333"/>
      <c r="Y30" s="332" t="s">
        <v>46</v>
      </c>
      <c r="Z30" s="333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">
      <c r="J31" s="13"/>
      <c r="K31" s="160"/>
      <c r="N31" s="142"/>
      <c r="O31" s="142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32" t="s">
        <v>46</v>
      </c>
      <c r="X31" s="333"/>
      <c r="Y31" s="332" t="s">
        <v>46</v>
      </c>
      <c r="Z31" s="333"/>
    </row>
    <row r="32" spans="1:47" ht="22.5" customHeight="1" x14ac:dyDescent="0.2">
      <c r="J32" s="13"/>
      <c r="K32" s="160"/>
      <c r="N32" s="139"/>
      <c r="O32" s="142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32" t="s">
        <v>46</v>
      </c>
      <c r="X32" s="333"/>
      <c r="Y32" s="332" t="s">
        <v>46</v>
      </c>
      <c r="Z32" s="333"/>
    </row>
    <row r="33" spans="1:24" ht="23.25" customHeight="1" x14ac:dyDescent="0.2">
      <c r="K33" s="160"/>
      <c r="L33" s="160"/>
      <c r="M33" s="160"/>
      <c r="N33" s="139"/>
      <c r="O33" s="142"/>
    </row>
    <row r="34" spans="1:24" ht="25.5" customHeight="1" x14ac:dyDescent="0.2">
      <c r="K34" s="160"/>
      <c r="L34" s="160"/>
      <c r="M34" s="160"/>
      <c r="N34" s="139"/>
      <c r="O34" s="142"/>
    </row>
    <row r="35" spans="1:24" ht="27.75" customHeight="1" x14ac:dyDescent="0.2">
      <c r="K35" s="160"/>
      <c r="L35" s="160"/>
      <c r="M35" s="160"/>
      <c r="N35" s="139"/>
      <c r="O35" s="139"/>
      <c r="P35" s="2"/>
      <c r="X35" s="13"/>
    </row>
    <row r="36" spans="1:24" ht="23.25" customHeight="1" x14ac:dyDescent="0.2">
      <c r="K36" s="160"/>
      <c r="L36" s="160"/>
      <c r="M36" s="160"/>
      <c r="N36" s="139"/>
      <c r="O36" s="139"/>
      <c r="P36" s="2"/>
      <c r="X36" s="13"/>
    </row>
    <row r="37" spans="1:24" ht="18" customHeight="1" x14ac:dyDescent="0.2">
      <c r="K37" s="160"/>
      <c r="L37" s="160"/>
      <c r="M37" s="160"/>
      <c r="N37" s="139"/>
      <c r="O37" s="387"/>
      <c r="P37" s="1"/>
      <c r="Q37" s="151"/>
      <c r="T37" s="50" t="s">
        <v>53</v>
      </c>
      <c r="U37" s="50"/>
      <c r="V37" s="50"/>
      <c r="W37" s="50"/>
      <c r="X37" s="50"/>
    </row>
    <row r="38" spans="1:24" ht="18" customHeight="1" x14ac:dyDescent="0.2">
      <c r="K38" s="160"/>
      <c r="L38" s="160"/>
      <c r="M38" s="160"/>
      <c r="N38" s="139"/>
      <c r="O38" s="383"/>
      <c r="P38" s="1"/>
      <c r="Q38" s="151"/>
      <c r="T38" s="50"/>
      <c r="U38" s="50"/>
      <c r="V38" s="50"/>
      <c r="W38" s="50"/>
      <c r="X38" s="13"/>
    </row>
    <row r="39" spans="1:24" ht="18" x14ac:dyDescent="0.2">
      <c r="K39" s="160"/>
      <c r="L39" s="160"/>
      <c r="M39" s="160"/>
      <c r="N39" s="142"/>
      <c r="O39" s="22"/>
    </row>
    <row r="40" spans="1:24" ht="18" x14ac:dyDescent="0.2">
      <c r="K40" s="160"/>
      <c r="L40" s="160"/>
      <c r="M40" s="160"/>
      <c r="N40" s="143"/>
      <c r="O40" s="143"/>
    </row>
    <row r="41" spans="1:24" s="150" customFormat="1" ht="20.25" customHeight="1" x14ac:dyDescent="0.2">
      <c r="K41" s="160"/>
      <c r="L41" s="160"/>
      <c r="M41" s="160"/>
      <c r="N41" s="146"/>
      <c r="O41" s="146"/>
    </row>
    <row r="42" spans="1:24" s="150" customFormat="1" ht="20.25" customHeight="1" x14ac:dyDescent="0.2">
      <c r="K42" s="504"/>
      <c r="L42" s="504"/>
      <c r="M42" s="146"/>
      <c r="N42" s="146"/>
      <c r="O42" s="146"/>
    </row>
    <row r="43" spans="1:24" s="150" customFormat="1" ht="20.25" customHeight="1" x14ac:dyDescent="0.2">
      <c r="K43" s="505"/>
      <c r="L43" s="505"/>
      <c r="M43" s="145"/>
      <c r="N43" s="145"/>
      <c r="O43" s="145"/>
    </row>
    <row r="44" spans="1:24" s="150" customFormat="1" ht="20.25" customHeight="1" x14ac:dyDescent="0.2">
      <c r="K44" s="505"/>
      <c r="L44" s="505"/>
      <c r="M44" s="145"/>
      <c r="N44" s="145"/>
      <c r="O44" s="145"/>
    </row>
    <row r="45" spans="1:24" s="31" customFormat="1" ht="20.25" customHeight="1" x14ac:dyDescent="0.2">
      <c r="A45" s="62"/>
      <c r="B45" s="62"/>
      <c r="E45" s="62"/>
      <c r="F45" s="62"/>
      <c r="G45" s="62"/>
      <c r="H45" s="62"/>
      <c r="I45" s="62"/>
      <c r="J45" s="62"/>
      <c r="K45" s="145"/>
      <c r="L45" s="145"/>
      <c r="M45" s="145"/>
      <c r="N45" s="145"/>
      <c r="O45" s="145"/>
    </row>
    <row r="46" spans="1:24" s="31" customFormat="1" ht="20.25" customHeight="1" x14ac:dyDescent="0.2">
      <c r="A46" s="62"/>
      <c r="B46" s="62"/>
      <c r="E46" s="62"/>
      <c r="F46" s="62"/>
      <c r="G46" s="62"/>
      <c r="H46" s="62"/>
      <c r="I46" s="62"/>
      <c r="J46" s="62"/>
      <c r="K46" s="145"/>
      <c r="L46" s="145"/>
      <c r="M46" s="145"/>
      <c r="N46" s="145"/>
      <c r="O46" s="145"/>
    </row>
    <row r="47" spans="1:24" s="150" customFormat="1" ht="20.25" customHeight="1" x14ac:dyDescent="0.2">
      <c r="K47" s="502"/>
      <c r="L47" s="145"/>
      <c r="M47" s="145"/>
      <c r="N47" s="144"/>
      <c r="O47" s="144"/>
    </row>
    <row r="48" spans="1:24" s="150" customFormat="1" ht="20.25" customHeight="1" x14ac:dyDescent="0.2">
      <c r="K48" s="502"/>
      <c r="L48" s="502"/>
      <c r="M48" s="145"/>
      <c r="N48" s="145"/>
      <c r="O48" s="144"/>
    </row>
    <row r="49" spans="6:26" s="150" customFormat="1" ht="20.25" customHeight="1" x14ac:dyDescent="0.2">
      <c r="K49" s="502"/>
      <c r="L49" s="502"/>
      <c r="M49" s="145"/>
      <c r="N49" s="145"/>
      <c r="O49" s="144"/>
    </row>
    <row r="50" spans="6:26" s="150" customFormat="1" ht="20.25" customHeight="1" x14ac:dyDescent="0.2">
      <c r="F50" s="503"/>
      <c r="G50" s="503"/>
      <c r="H50" s="503"/>
      <c r="K50" s="502"/>
      <c r="L50" s="145"/>
      <c r="M50" s="145"/>
      <c r="N50" s="145"/>
      <c r="O50" s="145"/>
    </row>
    <row r="51" spans="6:26" s="150" customFormat="1" ht="20.25" customHeight="1" x14ac:dyDescent="0.2">
      <c r="K51" s="145"/>
      <c r="L51" s="145"/>
      <c r="M51" s="145"/>
      <c r="N51" s="145"/>
      <c r="O51" s="145"/>
      <c r="P51" s="44"/>
      <c r="Q51" s="87"/>
      <c r="R51" s="87"/>
      <c r="S51" s="87"/>
      <c r="T51" s="87"/>
      <c r="U51" s="87"/>
      <c r="V51" s="87"/>
      <c r="W51" s="314"/>
      <c r="X51" s="315"/>
      <c r="Y51" s="314"/>
      <c r="Z51" s="315"/>
    </row>
    <row r="52" spans="6:26" s="150" customFormat="1" ht="20.25" customHeight="1" x14ac:dyDescent="0.2">
      <c r="K52" s="505"/>
      <c r="L52" s="505"/>
      <c r="M52" s="506"/>
      <c r="N52" s="145"/>
      <c r="O52" s="502"/>
      <c r="P52" s="44"/>
      <c r="Q52" s="87"/>
      <c r="R52" s="87"/>
      <c r="S52" s="87"/>
      <c r="T52" s="87"/>
      <c r="U52" s="87"/>
      <c r="V52" s="87"/>
      <c r="W52" s="332"/>
      <c r="X52" s="333"/>
      <c r="Y52" s="332"/>
      <c r="Z52" s="333"/>
    </row>
    <row r="53" spans="6:26" s="150" customFormat="1" ht="20.25" customHeight="1" x14ac:dyDescent="0.2">
      <c r="K53" s="505"/>
      <c r="L53" s="505"/>
      <c r="M53" s="506"/>
      <c r="N53" s="145"/>
      <c r="O53" s="504"/>
      <c r="P53" s="44"/>
      <c r="Q53" s="87"/>
      <c r="R53" s="87"/>
      <c r="S53" s="87"/>
      <c r="T53" s="87"/>
      <c r="U53" s="87"/>
      <c r="V53" s="87"/>
      <c r="W53" s="332"/>
      <c r="X53" s="333"/>
      <c r="Y53" s="332"/>
      <c r="Z53" s="333"/>
    </row>
    <row r="54" spans="6:26" ht="18" customHeight="1" x14ac:dyDescent="0.2">
      <c r="K54" s="383"/>
      <c r="L54" s="383"/>
      <c r="M54" s="21"/>
      <c r="N54" s="142"/>
      <c r="O54" s="22"/>
      <c r="P54" s="44"/>
      <c r="Q54" s="87"/>
      <c r="R54" s="87"/>
      <c r="S54" s="87"/>
      <c r="T54" s="87"/>
      <c r="U54" s="87"/>
      <c r="V54" s="87"/>
      <c r="W54" s="332"/>
      <c r="X54" s="333"/>
      <c r="Y54" s="332"/>
      <c r="Z54" s="333"/>
    </row>
    <row r="55" spans="6:26" ht="18" customHeight="1" x14ac:dyDescent="0.2">
      <c r="K55" s="384"/>
      <c r="L55" s="389"/>
      <c r="M55" s="143"/>
      <c r="N55" s="143"/>
      <c r="O55" s="143"/>
      <c r="P55" s="44"/>
      <c r="Q55" s="87"/>
      <c r="R55" s="87"/>
      <c r="S55" s="87"/>
      <c r="T55" s="87"/>
      <c r="U55" s="87"/>
      <c r="V55" s="87"/>
      <c r="W55" s="332"/>
      <c r="X55" s="333"/>
      <c r="Y55" s="332"/>
      <c r="Z55" s="333"/>
    </row>
    <row r="56" spans="6:26" ht="18" customHeight="1" x14ac:dyDescent="0.2">
      <c r="K56" s="383"/>
      <c r="L56" s="383"/>
      <c r="M56" s="141"/>
      <c r="N56" s="141"/>
      <c r="O56" s="141"/>
      <c r="P56" s="44"/>
      <c r="Q56" s="87"/>
      <c r="R56" s="87"/>
      <c r="S56" s="87"/>
      <c r="T56" s="87"/>
      <c r="U56" s="87"/>
      <c r="V56" s="87"/>
      <c r="W56" s="332"/>
      <c r="X56" s="333"/>
      <c r="Y56" s="332"/>
      <c r="Z56" s="333"/>
    </row>
    <row r="57" spans="6:26" ht="18" x14ac:dyDescent="0.2">
      <c r="K57" s="383"/>
      <c r="L57" s="383"/>
      <c r="M57" s="141"/>
      <c r="N57" s="141"/>
      <c r="O57" s="141"/>
      <c r="P57" s="49"/>
      <c r="Q57" s="87"/>
      <c r="R57" s="87"/>
      <c r="S57" s="87"/>
      <c r="T57" s="87"/>
      <c r="U57" s="87"/>
      <c r="V57" s="87"/>
      <c r="W57" s="137"/>
      <c r="X57" s="138"/>
      <c r="Y57" s="137"/>
      <c r="Z57" s="138"/>
    </row>
    <row r="58" spans="6:26" ht="18" customHeight="1" x14ac:dyDescent="0.2">
      <c r="K58" s="383"/>
      <c r="L58" s="383"/>
      <c r="M58" s="141"/>
      <c r="N58" s="141"/>
      <c r="O58" s="141"/>
      <c r="P58" s="44"/>
      <c r="Q58" s="87"/>
      <c r="R58" s="87"/>
      <c r="S58" s="87"/>
      <c r="T58" s="123"/>
      <c r="U58" s="123"/>
      <c r="V58" s="87"/>
      <c r="W58" s="332"/>
      <c r="X58" s="333"/>
      <c r="Y58" s="332"/>
      <c r="Z58" s="333"/>
    </row>
    <row r="59" spans="6:26" ht="23.25" customHeight="1" x14ac:dyDescent="0.2">
      <c r="K59" s="383"/>
      <c r="L59" s="383"/>
      <c r="M59" s="141"/>
      <c r="N59" s="141"/>
      <c r="O59" s="141"/>
      <c r="P59" s="44"/>
      <c r="Q59" s="87"/>
      <c r="R59" s="87"/>
      <c r="S59" s="33"/>
      <c r="T59" s="33"/>
      <c r="U59" s="33"/>
      <c r="V59" s="33"/>
      <c r="W59" s="332"/>
      <c r="X59" s="333"/>
      <c r="Y59" s="332"/>
      <c r="Z59" s="333"/>
    </row>
    <row r="60" spans="6:26" ht="18" customHeight="1" x14ac:dyDescent="0.2">
      <c r="K60" s="383"/>
      <c r="L60" s="383"/>
      <c r="M60" s="141"/>
      <c r="N60" s="141"/>
      <c r="O60" s="141"/>
      <c r="P60" s="44"/>
      <c r="Q60" s="87"/>
      <c r="R60" s="87"/>
      <c r="S60" s="42"/>
      <c r="T60" s="42"/>
      <c r="U60" s="42"/>
      <c r="V60" s="42"/>
      <c r="W60" s="332"/>
      <c r="X60" s="333"/>
      <c r="Y60" s="332"/>
      <c r="Z60" s="333"/>
    </row>
    <row r="61" spans="6:26" ht="18" customHeight="1" x14ac:dyDescent="0.2">
      <c r="K61" s="383"/>
      <c r="L61" s="383"/>
      <c r="M61" s="141"/>
      <c r="N61" s="141"/>
      <c r="O61" s="141"/>
      <c r="P61" s="44"/>
      <c r="Q61" s="87"/>
      <c r="R61" s="87"/>
      <c r="S61" s="42"/>
      <c r="T61" s="42"/>
      <c r="U61" s="42"/>
      <c r="V61" s="42"/>
      <c r="W61" s="332"/>
      <c r="X61" s="333"/>
      <c r="Y61" s="332"/>
      <c r="Z61" s="333"/>
    </row>
    <row r="62" spans="6:26" ht="18" customHeight="1" x14ac:dyDescent="0.2">
      <c r="K62" s="383"/>
      <c r="L62" s="383"/>
      <c r="M62" s="141"/>
      <c r="N62" s="141"/>
      <c r="O62" s="141"/>
      <c r="P62" s="44"/>
      <c r="Q62" s="87"/>
      <c r="R62" s="87"/>
      <c r="S62" s="42"/>
      <c r="T62" s="42"/>
      <c r="U62" s="42"/>
      <c r="V62" s="42"/>
      <c r="W62" s="332"/>
      <c r="X62" s="333"/>
      <c r="Y62" s="332"/>
      <c r="Z62" s="333"/>
    </row>
    <row r="63" spans="6:26" ht="18" customHeight="1" x14ac:dyDescent="0.2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32"/>
      <c r="X63" s="333"/>
      <c r="Y63" s="332"/>
      <c r="Z63" s="333"/>
    </row>
    <row r="64" spans="6:26" ht="27" customHeight="1" x14ac:dyDescent="0.2">
      <c r="K64" s="384"/>
      <c r="L64" s="384"/>
      <c r="M64" s="385"/>
      <c r="N64" s="139"/>
      <c r="O64" s="139"/>
      <c r="P64" s="44"/>
      <c r="Q64" s="87"/>
      <c r="R64" s="87"/>
      <c r="S64" s="42"/>
      <c r="T64" s="42"/>
      <c r="U64" s="42"/>
      <c r="V64" s="42"/>
      <c r="W64" s="332"/>
      <c r="X64" s="333"/>
      <c r="Y64" s="332"/>
      <c r="Z64" s="333"/>
    </row>
    <row r="65" spans="1:26" ht="18" x14ac:dyDescent="0.2">
      <c r="K65" s="384"/>
      <c r="L65" s="384"/>
      <c r="M65" s="383"/>
      <c r="N65" s="139"/>
      <c r="O65" s="139"/>
      <c r="P65" s="2"/>
      <c r="X65" s="13"/>
    </row>
    <row r="66" spans="1:26" ht="18" x14ac:dyDescent="0.2">
      <c r="K66" s="383"/>
      <c r="L66" s="383"/>
      <c r="M66" s="139"/>
      <c r="N66" s="139"/>
      <c r="O66" s="139"/>
      <c r="P66" s="2"/>
      <c r="X66" s="13"/>
    </row>
    <row r="67" spans="1:26" ht="20.25" x14ac:dyDescent="0.2">
      <c r="K67" s="384"/>
      <c r="L67" s="384"/>
      <c r="M67" s="385"/>
      <c r="N67" s="139"/>
      <c r="O67" s="139"/>
      <c r="P67" s="1"/>
      <c r="Q67" s="151"/>
      <c r="T67" s="50"/>
      <c r="U67" s="50"/>
      <c r="V67" s="50"/>
      <c r="W67" s="50"/>
      <c r="X67" s="50"/>
    </row>
    <row r="68" spans="1:26" ht="20.25" x14ac:dyDescent="0.2">
      <c r="K68" s="384"/>
      <c r="L68" s="384"/>
      <c r="M68" s="383"/>
      <c r="N68" s="139"/>
      <c r="O68" s="139"/>
      <c r="P68" s="1"/>
      <c r="Q68" s="151"/>
      <c r="T68" s="50"/>
      <c r="U68" s="50"/>
      <c r="V68" s="50"/>
      <c r="W68" s="50"/>
      <c r="X68" s="13"/>
    </row>
    <row r="69" spans="1:26" s="20" customFormat="1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5"/>
      <c r="Q69" s="155"/>
      <c r="R69" s="155"/>
      <c r="S69" s="155"/>
      <c r="T69" s="155"/>
      <c r="U69" s="155"/>
      <c r="V69" s="155"/>
      <c r="W69" s="155"/>
      <c r="X69" s="155"/>
      <c r="Y69" s="155"/>
      <c r="Z69" s="155"/>
    </row>
    <row r="70" spans="1:26" s="20" customFormat="1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5"/>
      <c r="Q70" s="155"/>
      <c r="R70" s="155"/>
      <c r="S70" s="155"/>
      <c r="T70" s="155"/>
      <c r="U70" s="155"/>
      <c r="V70" s="155"/>
      <c r="W70" s="155"/>
      <c r="X70" s="155"/>
      <c r="Y70" s="155"/>
      <c r="Z70" s="155"/>
    </row>
    <row r="71" spans="1:26" ht="18" x14ac:dyDescent="0.2">
      <c r="K71" s="390"/>
      <c r="L71" s="139"/>
      <c r="M71" s="139"/>
      <c r="N71" s="142"/>
      <c r="O71" s="142"/>
      <c r="P71" s="142"/>
      <c r="Q71" s="11"/>
      <c r="R71" s="11"/>
    </row>
    <row r="72" spans="1:26" ht="18" x14ac:dyDescent="0.2">
      <c r="K72" s="390"/>
      <c r="L72" s="391"/>
      <c r="M72" s="139"/>
      <c r="N72" s="139"/>
      <c r="O72" s="142"/>
      <c r="P72" s="142"/>
      <c r="Q72" s="11"/>
      <c r="R72" s="11"/>
    </row>
    <row r="73" spans="1:26" ht="18" x14ac:dyDescent="0.2">
      <c r="K73" s="390"/>
      <c r="L73" s="391"/>
      <c r="M73" s="139"/>
      <c r="N73" s="139"/>
      <c r="O73" s="142"/>
      <c r="P73" s="142"/>
      <c r="Q73" s="11"/>
      <c r="R73" s="11"/>
    </row>
    <row r="74" spans="1:26" ht="18" x14ac:dyDescent="0.2">
      <c r="K74" s="390"/>
      <c r="L74" s="139"/>
      <c r="M74" s="139"/>
      <c r="N74" s="139"/>
      <c r="O74" s="139"/>
      <c r="P74" s="142"/>
      <c r="Q74" s="11"/>
      <c r="R74" s="11"/>
    </row>
    <row r="75" spans="1:26" ht="18" x14ac:dyDescent="0.2">
      <c r="K75" s="139"/>
      <c r="L75" s="139"/>
      <c r="M75" s="139"/>
      <c r="N75" s="139"/>
      <c r="O75" s="139"/>
      <c r="P75" s="139"/>
      <c r="Q75" s="11"/>
      <c r="R75" s="11"/>
    </row>
    <row r="76" spans="1:26" ht="18" customHeight="1" x14ac:dyDescent="0.2">
      <c r="K76" s="384"/>
      <c r="L76" s="384"/>
      <c r="M76" s="386"/>
      <c r="N76" s="139"/>
      <c r="O76" s="387"/>
      <c r="P76" s="388"/>
      <c r="Q76" s="11"/>
      <c r="R76" s="11"/>
    </row>
    <row r="77" spans="1:26" ht="18" customHeight="1" x14ac:dyDescent="0.2">
      <c r="K77" s="384"/>
      <c r="L77" s="384"/>
      <c r="M77" s="386"/>
      <c r="N77" s="139"/>
      <c r="O77" s="383"/>
      <c r="P77" s="388"/>
      <c r="Q77" s="11"/>
      <c r="R77" s="11"/>
    </row>
    <row r="78" spans="1:26" ht="18" x14ac:dyDescent="0.2">
      <c r="K78" s="383"/>
      <c r="L78" s="383"/>
      <c r="M78" s="21"/>
      <c r="N78" s="142"/>
      <c r="O78" s="22"/>
      <c r="P78" s="142"/>
      <c r="Q78" s="11"/>
      <c r="R78" s="11"/>
    </row>
    <row r="79" spans="1:26" ht="18" x14ac:dyDescent="0.2">
      <c r="K79" s="384"/>
      <c r="L79" s="389"/>
      <c r="M79" s="143"/>
      <c r="N79" s="143"/>
      <c r="O79" s="143"/>
      <c r="P79" s="143"/>
      <c r="Q79" s="11"/>
      <c r="R79" s="11"/>
    </row>
    <row r="80" spans="1:26" ht="18" x14ac:dyDescent="0.2">
      <c r="K80" s="383"/>
      <c r="L80" s="383"/>
      <c r="M80" s="141"/>
      <c r="N80" s="141"/>
      <c r="O80" s="141"/>
      <c r="P80" s="139"/>
      <c r="Q80" s="11"/>
      <c r="R80" s="11"/>
    </row>
    <row r="81" spans="1:18" ht="18" x14ac:dyDescent="0.2">
      <c r="K81" s="383"/>
      <c r="L81" s="383"/>
      <c r="M81" s="141"/>
      <c r="N81" s="141"/>
      <c r="O81" s="141"/>
      <c r="P81" s="139"/>
      <c r="Q81" s="11"/>
      <c r="R81" s="11"/>
    </row>
    <row r="82" spans="1:18" ht="18" x14ac:dyDescent="0.2">
      <c r="K82" s="383"/>
      <c r="L82" s="383"/>
      <c r="M82" s="141"/>
      <c r="N82" s="141"/>
      <c r="O82" s="141"/>
      <c r="P82" s="139"/>
      <c r="Q82" s="11"/>
      <c r="R82" s="11"/>
    </row>
    <row r="83" spans="1:18" ht="18" x14ac:dyDescent="0.2">
      <c r="K83" s="383"/>
      <c r="L83" s="383"/>
      <c r="M83" s="141"/>
      <c r="N83" s="141"/>
      <c r="O83" s="141"/>
      <c r="P83" s="139"/>
      <c r="Q83" s="11"/>
      <c r="R83" s="11"/>
    </row>
    <row r="84" spans="1:18" ht="18" x14ac:dyDescent="0.2">
      <c r="K84" s="383"/>
      <c r="L84" s="383"/>
      <c r="M84" s="141"/>
      <c r="N84" s="141"/>
      <c r="O84" s="141"/>
      <c r="P84" s="139"/>
      <c r="Q84" s="11"/>
      <c r="R84" s="11"/>
    </row>
    <row r="85" spans="1:18" ht="18" x14ac:dyDescent="0.2">
      <c r="K85" s="383"/>
      <c r="L85" s="383"/>
      <c r="M85" s="141"/>
      <c r="N85" s="141"/>
      <c r="O85" s="141"/>
      <c r="P85" s="139"/>
      <c r="Q85" s="11"/>
      <c r="R85" s="11"/>
    </row>
    <row r="86" spans="1:18" ht="18" x14ac:dyDescent="0.2">
      <c r="K86" s="383"/>
      <c r="L86" s="383"/>
      <c r="M86" s="141"/>
      <c r="N86" s="141"/>
      <c r="O86" s="141"/>
      <c r="P86" s="139"/>
      <c r="Q86" s="11"/>
      <c r="R86" s="11"/>
    </row>
    <row r="87" spans="1:18" ht="18" x14ac:dyDescent="0.2">
      <c r="K87" s="25"/>
      <c r="L87" s="25"/>
      <c r="M87" s="25"/>
      <c r="N87" s="25"/>
      <c r="O87" s="25"/>
      <c r="P87" s="25"/>
      <c r="Q87" s="11"/>
      <c r="R87" s="11"/>
    </row>
    <row r="88" spans="1:18" ht="18" x14ac:dyDescent="0.2">
      <c r="K88" s="384"/>
      <c r="L88" s="384"/>
      <c r="M88" s="385"/>
      <c r="N88" s="139"/>
      <c r="O88" s="139"/>
      <c r="P88" s="139"/>
      <c r="Q88" s="11"/>
      <c r="R88" s="11"/>
    </row>
    <row r="89" spans="1:18" ht="18" x14ac:dyDescent="0.2">
      <c r="K89" s="384"/>
      <c r="L89" s="384"/>
      <c r="M89" s="383"/>
      <c r="N89" s="139"/>
      <c r="O89" s="139"/>
      <c r="P89" s="139"/>
      <c r="Q89" s="11"/>
      <c r="R89" s="11"/>
    </row>
    <row r="90" spans="1:18" ht="18" x14ac:dyDescent="0.2">
      <c r="K90" s="383"/>
      <c r="L90" s="383"/>
      <c r="M90" s="139"/>
      <c r="N90" s="139"/>
      <c r="O90" s="139"/>
      <c r="P90" s="139"/>
      <c r="Q90" s="11"/>
      <c r="R90" s="11"/>
    </row>
    <row r="91" spans="1:18" ht="18" x14ac:dyDescent="0.2">
      <c r="K91" s="384"/>
      <c r="L91" s="384"/>
      <c r="M91" s="385"/>
      <c r="N91" s="139"/>
      <c r="O91" s="139"/>
      <c r="P91" s="139"/>
      <c r="Q91" s="11"/>
      <c r="R91" s="11"/>
    </row>
    <row r="92" spans="1:18" ht="18" x14ac:dyDescent="0.2">
      <c r="K92" s="384"/>
      <c r="L92" s="384"/>
      <c r="M92" s="383"/>
      <c r="N92" s="139"/>
      <c r="O92" s="139"/>
      <c r="P92" s="139"/>
      <c r="Q92" s="11"/>
      <c r="R92" s="11"/>
    </row>
    <row r="93" spans="1:18" s="12" customFormat="1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">
      <c r="K95" s="11"/>
      <c r="L95" s="11"/>
      <c r="M95" s="11"/>
      <c r="N95" s="11"/>
      <c r="O95" s="11"/>
      <c r="P95" s="11"/>
      <c r="Q95" s="11"/>
      <c r="R95" s="11"/>
    </row>
    <row r="96" spans="1:18" x14ac:dyDescent="0.2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أوراق العمل</vt:lpstr>
      </vt:variant>
      <vt:variant>
        <vt:i4>6</vt:i4>
      </vt:variant>
      <vt:variant>
        <vt:lpstr>وحدات ماكرو Excel 4.0</vt:lpstr>
      </vt:variant>
      <vt:variant>
        <vt:i4>6</vt:i4>
      </vt:variant>
      <vt:variant>
        <vt:lpstr>نطاقات تمت تسميتها</vt:lpstr>
      </vt:variant>
      <vt:variant>
        <vt:i4>30</vt:i4>
      </vt:variant>
    </vt:vector>
  </HeadingPairs>
  <TitlesOfParts>
    <vt:vector size="42" baseType="lpstr">
      <vt:lpstr>اتعاب 2021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2026-07-02T09:13:37Z</dcterms:modified>
</cp:coreProperties>
</file>