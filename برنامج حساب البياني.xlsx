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60" windowHeight="6990"/>
  </bookViews>
  <sheets>
    <sheet name="بياني1" sheetId="6" r:id="rId1"/>
    <sheet name="بياني2" sheetId="7" r:id="rId2"/>
    <sheet name="بياني3" sheetId="8" r:id="rId3"/>
    <sheet name="اسماء مهندسي المكاتب" sheetId="2" r:id="rId4"/>
  </sheets>
  <externalReferences>
    <externalReference r:id="rId5"/>
    <externalReference r:id="rId6"/>
  </externalReferenc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8" l="1"/>
  <c r="D13" i="8"/>
  <c r="F12" i="8"/>
  <c r="D13" i="7"/>
  <c r="B13" i="7"/>
  <c r="B13" i="6"/>
  <c r="B14" i="6" s="1"/>
  <c r="C13" i="7"/>
  <c r="F12" i="7"/>
  <c r="D13" i="6"/>
  <c r="C13" i="6"/>
  <c r="E18" i="6" l="1"/>
  <c r="S35" i="8"/>
  <c r="S32" i="8"/>
  <c r="R32" i="8"/>
  <c r="S31" i="8"/>
  <c r="R31" i="8"/>
  <c r="Q31" i="8"/>
  <c r="P31" i="8"/>
  <c r="O31" i="8"/>
  <c r="S28" i="8"/>
  <c r="R28" i="8"/>
  <c r="Q28" i="8"/>
  <c r="P28" i="8"/>
  <c r="O28" i="8"/>
  <c r="S27" i="8"/>
  <c r="R27" i="8"/>
  <c r="S26" i="8"/>
  <c r="R26" i="8"/>
  <c r="S25" i="8"/>
  <c r="R25" i="8"/>
  <c r="S24" i="8"/>
  <c r="R24" i="8"/>
  <c r="S23" i="8"/>
  <c r="R23" i="8"/>
  <c r="S22" i="8"/>
  <c r="R22" i="8"/>
  <c r="Q22" i="8"/>
  <c r="P22" i="8"/>
  <c r="O22" i="8"/>
  <c r="Q20" i="8"/>
  <c r="P20" i="8"/>
  <c r="O20" i="8"/>
  <c r="B20" i="8"/>
  <c r="B21" i="8" s="1"/>
  <c r="N15" i="8" s="1"/>
  <c r="S19" i="8"/>
  <c r="R19" i="8"/>
  <c r="Q19" i="8"/>
  <c r="P19" i="8"/>
  <c r="O19" i="8"/>
  <c r="B18" i="8"/>
  <c r="S17" i="8"/>
  <c r="Q17" i="8"/>
  <c r="N17" i="8"/>
  <c r="Q15" i="8"/>
  <c r="D15" i="8"/>
  <c r="Q32" i="8" s="1"/>
  <c r="C15" i="8"/>
  <c r="P32" i="8" s="1"/>
  <c r="B15" i="8"/>
  <c r="O32" i="8" s="1"/>
  <c r="B14" i="8"/>
  <c r="N13" i="8"/>
  <c r="M13" i="8"/>
  <c r="Q23" i="8"/>
  <c r="P23" i="8"/>
  <c r="O23" i="8"/>
  <c r="Q12" i="8"/>
  <c r="N12" i="8"/>
  <c r="G12" i="8"/>
  <c r="Q8" i="8"/>
  <c r="N8" i="8"/>
  <c r="N6" i="8"/>
  <c r="Q6" i="8" s="1"/>
  <c r="S35" i="7"/>
  <c r="S32" i="7"/>
  <c r="R32" i="7"/>
  <c r="S31" i="7"/>
  <c r="R31" i="7"/>
  <c r="Q31" i="7"/>
  <c r="P31" i="7"/>
  <c r="O31" i="7"/>
  <c r="S28" i="7"/>
  <c r="R28" i="7"/>
  <c r="Q28" i="7"/>
  <c r="P28" i="7"/>
  <c r="O28" i="7"/>
  <c r="S27" i="7"/>
  <c r="R27" i="7"/>
  <c r="S26" i="7"/>
  <c r="R26" i="7"/>
  <c r="S25" i="7"/>
  <c r="R25" i="7"/>
  <c r="S24" i="7"/>
  <c r="R24" i="7"/>
  <c r="S23" i="7"/>
  <c r="R23" i="7"/>
  <c r="S22" i="7"/>
  <c r="R22" i="7"/>
  <c r="Q22" i="7"/>
  <c r="P22" i="7"/>
  <c r="O22" i="7"/>
  <c r="Q20" i="7"/>
  <c r="P20" i="7"/>
  <c r="O20" i="7"/>
  <c r="S19" i="7"/>
  <c r="R19" i="7"/>
  <c r="Q19" i="7"/>
  <c r="P19" i="7"/>
  <c r="O19" i="7"/>
  <c r="B18" i="7"/>
  <c r="B21" i="7" s="1"/>
  <c r="N15" i="7" s="1"/>
  <c r="S17" i="7"/>
  <c r="Q17" i="7"/>
  <c r="N17" i="7"/>
  <c r="S15" i="7"/>
  <c r="Q15" i="7"/>
  <c r="D15" i="7"/>
  <c r="Q32" i="7" s="1"/>
  <c r="C15" i="7"/>
  <c r="P32" i="7" s="1"/>
  <c r="B15" i="7"/>
  <c r="O32" i="7" s="1"/>
  <c r="N13" i="7"/>
  <c r="M13" i="7"/>
  <c r="Q23" i="7"/>
  <c r="P23" i="7"/>
  <c r="O23" i="7"/>
  <c r="Q12" i="7"/>
  <c r="N12" i="7"/>
  <c r="G12" i="7"/>
  <c r="Q8" i="7"/>
  <c r="N8" i="7"/>
  <c r="N6" i="7"/>
  <c r="Q6" i="7" s="1"/>
  <c r="S35" i="6"/>
  <c r="S32" i="6"/>
  <c r="R32" i="6"/>
  <c r="S31" i="6"/>
  <c r="R31" i="6"/>
  <c r="Q31" i="6"/>
  <c r="P31" i="6"/>
  <c r="O31" i="6"/>
  <c r="S28" i="6"/>
  <c r="R28" i="6"/>
  <c r="Q28" i="6"/>
  <c r="P28" i="6"/>
  <c r="O28" i="6"/>
  <c r="S27" i="6"/>
  <c r="R27" i="6"/>
  <c r="S26" i="6"/>
  <c r="R26" i="6"/>
  <c r="S25" i="6"/>
  <c r="R25" i="6"/>
  <c r="S24" i="6"/>
  <c r="R24" i="6"/>
  <c r="S23" i="6"/>
  <c r="R23" i="6"/>
  <c r="S22" i="6"/>
  <c r="R22" i="6"/>
  <c r="Q22" i="6"/>
  <c r="P22" i="6"/>
  <c r="O22" i="6"/>
  <c r="B21" i="6"/>
  <c r="N15" i="6" s="1"/>
  <c r="Q20" i="6"/>
  <c r="P20" i="6"/>
  <c r="O20" i="6"/>
  <c r="B20" i="6"/>
  <c r="S19" i="6"/>
  <c r="R19" i="6"/>
  <c r="Q19" i="6"/>
  <c r="P19" i="6"/>
  <c r="O19" i="6"/>
  <c r="B18" i="6"/>
  <c r="S17" i="6"/>
  <c r="Q17" i="6"/>
  <c r="N17" i="6"/>
  <c r="S15" i="6"/>
  <c r="Q15" i="6"/>
  <c r="D15" i="6"/>
  <c r="Q32" i="6" s="1"/>
  <c r="C15" i="6"/>
  <c r="P32" i="6" s="1"/>
  <c r="B15" i="6"/>
  <c r="O32" i="6" s="1"/>
  <c r="N13" i="6"/>
  <c r="M13" i="6"/>
  <c r="Q23" i="6"/>
  <c r="O23" i="6"/>
  <c r="Q12" i="6"/>
  <c r="N12" i="6"/>
  <c r="G12" i="6"/>
  <c r="Q8" i="6"/>
  <c r="N8" i="6"/>
  <c r="N6" i="6"/>
  <c r="Q6" i="6" s="1"/>
  <c r="D14" i="8" l="1"/>
  <c r="D17" i="8" s="1"/>
  <c r="Q27" i="8" s="1"/>
  <c r="C14" i="8"/>
  <c r="C17" i="8" s="1"/>
  <c r="P26" i="8" s="1"/>
  <c r="D14" i="7"/>
  <c r="D17" i="7" s="1"/>
  <c r="Q27" i="7" s="1"/>
  <c r="C14" i="7"/>
  <c r="C17" i="7" s="1"/>
  <c r="P26" i="7" s="1"/>
  <c r="B14" i="7"/>
  <c r="B17" i="7" s="1"/>
  <c r="O26" i="7" s="1"/>
  <c r="O26" i="8"/>
  <c r="O27" i="8"/>
  <c r="O24" i="8"/>
  <c r="O25" i="8"/>
  <c r="P25" i="8"/>
  <c r="Q25" i="8"/>
  <c r="O25" i="7"/>
  <c r="P25" i="7"/>
  <c r="Q25" i="7"/>
  <c r="D14" i="6"/>
  <c r="O25" i="6"/>
  <c r="P25" i="6"/>
  <c r="Q25" i="6"/>
  <c r="P24" i="8" l="1"/>
  <c r="Q24" i="8"/>
  <c r="Q26" i="8"/>
  <c r="P27" i="8"/>
  <c r="O24" i="7"/>
  <c r="O27" i="7"/>
  <c r="Q24" i="7"/>
  <c r="Q26" i="7"/>
  <c r="P24" i="7"/>
  <c r="P27" i="7"/>
  <c r="D17" i="6"/>
  <c r="Q24" i="6"/>
  <c r="B17" i="6"/>
  <c r="O24" i="6"/>
  <c r="O26" i="6" l="1"/>
  <c r="O27" i="6"/>
  <c r="Q27" i="6"/>
  <c r="Q26" i="6"/>
  <c r="C14" i="6"/>
  <c r="P24" i="6" s="1"/>
  <c r="P23" i="6"/>
  <c r="C17" i="6" l="1"/>
  <c r="P26" i="6" l="1"/>
  <c r="P27" i="6"/>
</calcChain>
</file>

<file path=xl/sharedStrings.xml><?xml version="1.0" encoding="utf-8"?>
<sst xmlns="http://schemas.openxmlformats.org/spreadsheetml/2006/main" count="321" uniqueCount="112">
  <si>
    <t>اسم المهندس</t>
  </si>
  <si>
    <t>صندوق المهندسين</t>
  </si>
  <si>
    <t>اتعاب المهندس الدارس</t>
  </si>
  <si>
    <t>التصوير</t>
  </si>
  <si>
    <t>المجموع الكلي</t>
  </si>
  <si>
    <t>ميكانيك</t>
  </si>
  <si>
    <t>العمارة</t>
  </si>
  <si>
    <t>إبراهيم شيحموس</t>
  </si>
  <si>
    <t>عبدالحليم إبراهيم</t>
  </si>
  <si>
    <t>محمد مصلح محمود</t>
  </si>
  <si>
    <t>فاضل إبراهيم</t>
  </si>
  <si>
    <t>عبدالرحمن ملا إبراهيم</t>
  </si>
  <si>
    <t>مروان بربندي</t>
  </si>
  <si>
    <t>محمود علي</t>
  </si>
  <si>
    <t>افين إبراهيم</t>
  </si>
  <si>
    <t>زيندان محمد</t>
  </si>
  <si>
    <t>دلال نعمة</t>
  </si>
  <si>
    <t>سحاب الخاير</t>
  </si>
  <si>
    <t>الكهربا</t>
  </si>
  <si>
    <t>عادل باشا</t>
  </si>
  <si>
    <t>عبدالرحمن ولو</t>
  </si>
  <si>
    <t>بدران سيدو</t>
  </si>
  <si>
    <t>محمد بشير</t>
  </si>
  <si>
    <t>سهيلة دولي</t>
  </si>
  <si>
    <t>عبدالعزيز الحسين</t>
  </si>
  <si>
    <t>عبدالرحيم طعمة</t>
  </si>
  <si>
    <t>محمود سالم</t>
  </si>
  <si>
    <t>ذاكرة ولو</t>
  </si>
  <si>
    <t>محمد يوسف</t>
  </si>
  <si>
    <t>فريدة عبدو</t>
  </si>
  <si>
    <t>داخل الصندوق بنسبة 25%</t>
  </si>
  <si>
    <t>خارج الصندوق بنسبة 10%</t>
  </si>
  <si>
    <t>المساحة</t>
  </si>
  <si>
    <t xml:space="preserve">مجموع اتعاب الدراسة </t>
  </si>
  <si>
    <t>الاتعاب مع التصوير</t>
  </si>
  <si>
    <t>الصفة العقارية</t>
  </si>
  <si>
    <t>السعر</t>
  </si>
  <si>
    <t>اسم مالك العقار :</t>
  </si>
  <si>
    <t>علي الدرب</t>
  </si>
  <si>
    <t>العقار :</t>
  </si>
  <si>
    <t>صاحب العلاقة(الصيدلي) :</t>
  </si>
  <si>
    <t xml:space="preserve">  حركة المجتمع الديمقراطي TEV-DEM</t>
  </si>
  <si>
    <t>Tevgera Civaka A Demuqratîk TEV-DEM</t>
  </si>
  <si>
    <t>بياني</t>
  </si>
  <si>
    <t>المنطقة العقارية:</t>
  </si>
  <si>
    <t>حسكة أولى</t>
  </si>
  <si>
    <t>المقسم :</t>
  </si>
  <si>
    <t>ايصال رقم:</t>
  </si>
  <si>
    <t>الصفة :</t>
  </si>
  <si>
    <t>صيدلية او مستودع او مخبر او غيرها</t>
  </si>
  <si>
    <t xml:space="preserve">  اتحاد المهندسين في اقليم الجزيرة</t>
  </si>
  <si>
    <r>
      <rPr>
        <b/>
        <sz val="11"/>
        <color theme="1"/>
        <rFont val="Arial"/>
        <family val="2"/>
        <scheme val="minor"/>
      </rPr>
      <t>Yekîtîya Endezyarên Cezîrê</t>
    </r>
    <r>
      <rPr>
        <sz val="11"/>
        <color theme="1"/>
        <rFont val="Arial"/>
        <family val="2"/>
        <charset val="178"/>
        <scheme val="minor"/>
      </rPr>
      <t xml:space="preserve">                </t>
    </r>
  </si>
  <si>
    <t>الغرفة</t>
  </si>
  <si>
    <t>الحسكه</t>
  </si>
  <si>
    <t xml:space="preserve"> غرفة مهندسي </t>
  </si>
  <si>
    <t xml:space="preserve">Odeya Endezyarên </t>
  </si>
  <si>
    <t>الغرفة و الاختصاص</t>
  </si>
  <si>
    <t>معماري_حسكه</t>
  </si>
  <si>
    <t>كهربا_حسكه</t>
  </si>
  <si>
    <t>ميكانيك_حسكه</t>
  </si>
  <si>
    <t>الاتحاد</t>
  </si>
  <si>
    <t xml:space="preserve"> الصندوق المشترك</t>
  </si>
  <si>
    <t>التاريخ :</t>
  </si>
  <si>
    <r>
      <rPr>
        <b/>
        <sz val="12"/>
        <color theme="1"/>
        <rFont val="Arial"/>
        <family val="2"/>
        <scheme val="minor"/>
      </rPr>
      <t xml:space="preserve">Dirok:  </t>
    </r>
    <r>
      <rPr>
        <sz val="11"/>
        <color theme="1"/>
        <rFont val="Arial"/>
        <family val="2"/>
        <charset val="178"/>
        <scheme val="minor"/>
      </rPr>
      <t xml:space="preserve">    </t>
    </r>
  </si>
  <si>
    <t>افين ابراهيم</t>
  </si>
  <si>
    <t>خارج الصندوق10%</t>
  </si>
  <si>
    <t>-------------------------------------------------------------------------------------------------------------------------------------------------------------------------</t>
  </si>
  <si>
    <t>المهندس المشرف</t>
  </si>
  <si>
    <t>لا يوجد</t>
  </si>
  <si>
    <t>خارج الصندوق20%</t>
  </si>
  <si>
    <t>جدول توزيع الاتعاب للمهندسين  (دراسة )</t>
  </si>
  <si>
    <t>داخل او خارج الصندوق</t>
  </si>
  <si>
    <t>داخل الصندوق 25%</t>
  </si>
  <si>
    <t>سعر الدراسة</t>
  </si>
  <si>
    <t>اسم مالك العقار:</t>
  </si>
  <si>
    <t xml:space="preserve">   الصفة : </t>
  </si>
  <si>
    <t>داخل الصندوق 40%</t>
  </si>
  <si>
    <t>اتعاب المهندس المشرف</t>
  </si>
  <si>
    <t>مجموع الحساب :</t>
  </si>
  <si>
    <t>ليرة</t>
  </si>
  <si>
    <t xml:space="preserve">المساحة : </t>
  </si>
  <si>
    <t>م2</t>
  </si>
  <si>
    <t>مجموع اتعاب المهندس الصافية</t>
  </si>
  <si>
    <t>الغرف الهندسية في الجزيرة</t>
  </si>
  <si>
    <t>قامشلو</t>
  </si>
  <si>
    <t>Qamışlo</t>
  </si>
  <si>
    <t>Hesekê</t>
  </si>
  <si>
    <t>تصوير</t>
  </si>
  <si>
    <t>ديريك</t>
  </si>
  <si>
    <t>Dêrikê</t>
  </si>
  <si>
    <t>سري كانييه</t>
  </si>
  <si>
    <t>Serê kaniyê</t>
  </si>
  <si>
    <t>عاموده</t>
  </si>
  <si>
    <t>Amûdê</t>
  </si>
  <si>
    <t>اتعاب الدراسة</t>
  </si>
  <si>
    <t>حصة الصندوق</t>
  </si>
  <si>
    <t>حصة المهندس</t>
  </si>
  <si>
    <t xml:space="preserve"> الاتعاب الصافية </t>
  </si>
  <si>
    <t>توقيع الدارس</t>
  </si>
  <si>
    <t>التسعيرة</t>
  </si>
  <si>
    <t>بياني مستودع</t>
  </si>
  <si>
    <t>توقيع مهندس المشرف</t>
  </si>
  <si>
    <t>سعر المتر الواحد عندما تكون</t>
  </si>
  <si>
    <t>المساحة اكثر من 100 م2</t>
  </si>
  <si>
    <t xml:space="preserve">الرئاسة المشتركة لغرفة مهندسين </t>
  </si>
  <si>
    <t>&gt;120</t>
  </si>
  <si>
    <t>المساحة : &gt;120م2</t>
  </si>
  <si>
    <t>صيدلية</t>
  </si>
  <si>
    <t>&lt;60</t>
  </si>
  <si>
    <t>&gt;60</t>
  </si>
  <si>
    <t>حسكة ثانية</t>
  </si>
  <si>
    <t>محمد صالح خليل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</si>
</sst>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2010000]yyyy/mm/dd;@"/>
    <numFmt numFmtId="165" formatCode="dd/mm/yyyy;@"/>
  </numFmts>
  <fonts count="36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3F3F76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b/>
      <sz val="22"/>
      <color rgb="FF000000"/>
      <name val="Arial"/>
      <family val="2"/>
    </font>
    <font>
      <b/>
      <sz val="18"/>
      <color theme="1"/>
      <name val="Arial"/>
      <family val="2"/>
      <scheme val="minor"/>
    </font>
    <font>
      <b/>
      <sz val="13"/>
      <color theme="1"/>
      <name val="Arial"/>
      <family val="2"/>
    </font>
    <font>
      <b/>
      <sz val="13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8"/>
      <name val="Arial"/>
      <family val="2"/>
      <scheme val="minor"/>
    </font>
    <font>
      <b/>
      <sz val="18"/>
      <color theme="1"/>
      <name val="Arial"/>
      <family val="2"/>
    </font>
    <font>
      <b/>
      <sz val="11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3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rgb="FFFF0000"/>
      <name val="Arial"/>
      <family val="2"/>
      <scheme val="minor"/>
    </font>
    <font>
      <sz val="13"/>
      <color theme="1"/>
      <name val="Arial"/>
      <family val="2"/>
    </font>
    <font>
      <sz val="14"/>
      <color rgb="FFFF0000"/>
      <name val="Arial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</borders>
  <cellStyleXfs count="4">
    <xf numFmtId="0" fontId="0" fillId="0" borderId="0"/>
    <xf numFmtId="0" fontId="10" fillId="5" borderId="4" applyNumberFormat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</cellStyleXfs>
  <cellXfs count="20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vertical="center"/>
    </xf>
    <xf numFmtId="0" fontId="15" fillId="3" borderId="1" xfId="0" applyFont="1" applyFill="1" applyBorder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7" fillId="10" borderId="7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readingOrder="2"/>
    </xf>
    <xf numFmtId="0" fontId="16" fillId="3" borderId="1" xfId="0" applyFont="1" applyFill="1" applyBorder="1" applyAlignment="1">
      <alignment horizontal="center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18" fillId="11" borderId="0" xfId="0" applyFont="1" applyFill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0" fontId="18" fillId="12" borderId="1" xfId="0" applyFont="1" applyFill="1" applyBorder="1" applyAlignment="1">
      <alignment horizontal="center" vertical="center"/>
    </xf>
    <xf numFmtId="0" fontId="21" fillId="9" borderId="1" xfId="2" applyFont="1" applyFill="1" applyBorder="1" applyAlignment="1" applyProtection="1">
      <alignment horizontal="center" vertical="center"/>
      <protection locked="0"/>
    </xf>
    <xf numFmtId="0" fontId="21" fillId="9" borderId="1" xfId="1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 readingOrder="2"/>
    </xf>
    <xf numFmtId="165" fontId="3" fillId="0" borderId="0" xfId="0" applyNumberFormat="1" applyFont="1" applyAlignment="1">
      <alignment vertical="center"/>
    </xf>
    <xf numFmtId="0" fontId="18" fillId="12" borderId="9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3" fillId="0" borderId="0" xfId="0" applyFont="1" applyAlignment="1">
      <alignment vertical="center" readingOrder="2"/>
    </xf>
    <xf numFmtId="0" fontId="2" fillId="0" borderId="0" xfId="0" applyFont="1" applyAlignment="1">
      <alignment horizontal="center" vertical="center"/>
    </xf>
    <xf numFmtId="0" fontId="24" fillId="9" borderId="1" xfId="2" applyFont="1" applyFill="1" applyBorder="1" applyAlignment="1" applyProtection="1">
      <alignment horizontal="center" vertical="center"/>
      <protection locked="0"/>
    </xf>
    <xf numFmtId="0" fontId="3" fillId="12" borderId="1" xfId="3" applyFont="1" applyFill="1" applyBorder="1" applyAlignment="1">
      <alignment horizontal="center" vertical="center"/>
    </xf>
    <xf numFmtId="0" fontId="25" fillId="7" borderId="1" xfId="3" applyFont="1" applyBorder="1" applyAlignment="1">
      <alignment horizontal="center" vertical="center"/>
    </xf>
    <xf numFmtId="0" fontId="26" fillId="0" borderId="0" xfId="0" applyFont="1" applyAlignment="1">
      <alignment horizontal="center" vertical="center" readingOrder="2"/>
    </xf>
    <xf numFmtId="1" fontId="18" fillId="14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29" fillId="0" borderId="0" xfId="0" applyFont="1" applyAlignment="1">
      <alignment vertical="center" readingOrder="2"/>
    </xf>
    <xf numFmtId="0" fontId="15" fillId="0" borderId="0" xfId="0" applyFont="1" applyAlignment="1">
      <alignment vertical="center" readingOrder="2"/>
    </xf>
    <xf numFmtId="0" fontId="16" fillId="0" borderId="0" xfId="0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16" fillId="0" borderId="0" xfId="0" applyFont="1" applyAlignment="1"/>
    <xf numFmtId="0" fontId="16" fillId="0" borderId="0" xfId="0" applyFont="1"/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/>
    </xf>
    <xf numFmtId="1" fontId="7" fillId="8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readingOrder="2"/>
    </xf>
    <xf numFmtId="0" fontId="30" fillId="0" borderId="0" xfId="0" applyFont="1" applyAlignment="1">
      <alignment vertical="center"/>
    </xf>
    <xf numFmtId="1" fontId="18" fillId="14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 wrapText="1" readingOrder="2"/>
    </xf>
    <xf numFmtId="0" fontId="3" fillId="13" borderId="1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 readingOrder="2"/>
    </xf>
    <xf numFmtId="0" fontId="29" fillId="15" borderId="1" xfId="0" applyFont="1" applyFill="1" applyBorder="1" applyAlignment="1">
      <alignment horizontal="center" vertical="center" wrapText="1" readingOrder="2"/>
    </xf>
    <xf numFmtId="0" fontId="18" fillId="2" borderId="1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 wrapText="1" readingOrder="2"/>
    </xf>
    <xf numFmtId="0" fontId="0" fillId="18" borderId="0" xfId="0" applyFill="1" applyAlignment="1">
      <alignment horizontal="center" vertical="center"/>
    </xf>
    <xf numFmtId="1" fontId="29" fillId="19" borderId="1" xfId="0" applyNumberFormat="1" applyFont="1" applyFill="1" applyBorder="1" applyAlignment="1">
      <alignment horizontal="center" vertical="center" wrapText="1" readingOrder="2"/>
    </xf>
    <xf numFmtId="0" fontId="29" fillId="0" borderId="1" xfId="0" applyFont="1" applyBorder="1" applyAlignment="1">
      <alignment horizontal="center" vertical="center" wrapText="1" readingOrder="2"/>
    </xf>
    <xf numFmtId="0" fontId="4" fillId="20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 readingOrder="2"/>
    </xf>
    <xf numFmtId="0" fontId="32" fillId="0" borderId="0" xfId="0" applyFont="1" applyAlignment="1">
      <alignment horizontal="right" vertical="center" readingOrder="2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3" fillId="16" borderId="0" xfId="0" applyFont="1" applyFill="1" applyBorder="1" applyAlignment="1">
      <alignment horizontal="center" vertical="center"/>
    </xf>
    <xf numFmtId="0" fontId="20" fillId="16" borderId="0" xfId="0" applyFont="1" applyFill="1" applyBorder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horizontal="center" vertical="center" readingOrder="2"/>
    </xf>
    <xf numFmtId="0" fontId="16" fillId="0" borderId="0" xfId="0" applyFont="1" applyAlignment="1">
      <alignment horizontal="center"/>
    </xf>
    <xf numFmtId="0" fontId="30" fillId="0" borderId="0" xfId="0" applyFont="1" applyAlignment="1">
      <alignment horizontal="left" vertical="center"/>
    </xf>
    <xf numFmtId="0" fontId="0" fillId="16" borderId="0" xfId="0" applyFont="1" applyFill="1" applyAlignment="1">
      <alignment horizontal="center" vertical="center"/>
    </xf>
    <xf numFmtId="0" fontId="0" fillId="18" borderId="0" xfId="0" applyFont="1" applyFill="1" applyAlignment="1">
      <alignment horizontal="center" vertical="center"/>
    </xf>
    <xf numFmtId="0" fontId="8" fillId="15" borderId="1" xfId="0" applyFont="1" applyFill="1" applyBorder="1" applyAlignment="1">
      <alignment horizontal="center" vertical="center" wrapText="1" readingOrder="2"/>
    </xf>
    <xf numFmtId="0" fontId="28" fillId="0" borderId="1" xfId="0" quotePrefix="1" applyNumberFormat="1" applyFont="1" applyBorder="1" applyAlignment="1">
      <alignment vertical="center" wrapText="1" readingOrder="2"/>
    </xf>
    <xf numFmtId="0" fontId="28" fillId="0" borderId="1" xfId="0" quotePrefix="1" applyNumberFormat="1" applyFont="1" applyBorder="1" applyAlignment="1">
      <alignment horizontal="center" vertical="center" wrapText="1" readingOrder="2"/>
    </xf>
    <xf numFmtId="0" fontId="25" fillId="16" borderId="0" xfId="3" applyFont="1" applyFill="1" applyBorder="1" applyAlignment="1">
      <alignment horizontal="center" vertical="center"/>
    </xf>
    <xf numFmtId="1" fontId="18" fillId="16" borderId="0" xfId="0" applyNumberFormat="1" applyFont="1" applyFill="1" applyBorder="1" applyAlignment="1">
      <alignment horizontal="center" vertical="center"/>
    </xf>
    <xf numFmtId="0" fontId="18" fillId="16" borderId="0" xfId="0" applyFont="1" applyFill="1" applyBorder="1" applyAlignment="1">
      <alignment horizontal="center" vertical="center"/>
    </xf>
    <xf numFmtId="0" fontId="35" fillId="16" borderId="0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 readingOrder="2"/>
    </xf>
    <xf numFmtId="0" fontId="16" fillId="21" borderId="1" xfId="0" applyFont="1" applyFill="1" applyBorder="1" applyAlignment="1">
      <alignment horizontal="center"/>
    </xf>
    <xf numFmtId="0" fontId="15" fillId="21" borderId="1" xfId="0" applyFont="1" applyFill="1" applyBorder="1" applyAlignment="1">
      <alignment horizontal="left" vertical="center" readingOrder="2"/>
    </xf>
    <xf numFmtId="0" fontId="0" fillId="21" borderId="0" xfId="0" applyFill="1" applyAlignment="1">
      <alignment horizontal="center" vertical="center"/>
    </xf>
    <xf numFmtId="0" fontId="7" fillId="24" borderId="1" xfId="0" applyFont="1" applyFill="1" applyBorder="1" applyAlignment="1" applyProtection="1">
      <alignment horizontal="center" vertical="center"/>
      <protection locked="0"/>
    </xf>
    <xf numFmtId="0" fontId="15" fillId="25" borderId="1" xfId="0" applyFont="1" applyFill="1" applyBorder="1" applyAlignment="1">
      <alignment horizontal="center" vertical="center" readingOrder="2"/>
    </xf>
    <xf numFmtId="0" fontId="18" fillId="26" borderId="1" xfId="0" applyFont="1" applyFill="1" applyBorder="1" applyAlignment="1">
      <alignment horizontal="center" vertical="center"/>
    </xf>
    <xf numFmtId="0" fontId="18" fillId="26" borderId="9" xfId="0" applyFont="1" applyFill="1" applyBorder="1" applyAlignment="1">
      <alignment horizontal="center" vertical="center"/>
    </xf>
    <xf numFmtId="0" fontId="3" fillId="26" borderId="1" xfId="3" applyFont="1" applyFill="1" applyBorder="1" applyAlignment="1">
      <alignment horizontal="center" vertical="center"/>
    </xf>
    <xf numFmtId="1" fontId="18" fillId="27" borderId="1" xfId="0" applyNumberFormat="1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/>
    </xf>
    <xf numFmtId="1" fontId="7" fillId="27" borderId="1" xfId="0" applyNumberFormat="1" applyFont="1" applyFill="1" applyBorder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8" fillId="27" borderId="0" xfId="0" applyNumberFormat="1" applyFont="1" applyFill="1" applyBorder="1" applyAlignment="1">
      <alignment horizontal="center" vertical="center" wrapText="1" readingOrder="2"/>
    </xf>
    <xf numFmtId="0" fontId="0" fillId="27" borderId="0" xfId="0" applyFill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 readingOrder="2"/>
    </xf>
    <xf numFmtId="0" fontId="16" fillId="28" borderId="1" xfId="0" applyFont="1" applyFill="1" applyBorder="1" applyAlignment="1">
      <alignment horizontal="center"/>
    </xf>
    <xf numFmtId="0" fontId="15" fillId="28" borderId="1" xfId="0" applyFont="1" applyFill="1" applyBorder="1" applyAlignment="1">
      <alignment horizontal="left" vertical="center" readingOrder="2"/>
    </xf>
    <xf numFmtId="0" fontId="7" fillId="29" borderId="1" xfId="0" applyFont="1" applyFill="1" applyBorder="1" applyAlignment="1" applyProtection="1">
      <alignment horizontal="center" vertical="center"/>
      <protection locked="0"/>
    </xf>
    <xf numFmtId="0" fontId="15" fillId="30" borderId="1" xfId="0" applyFont="1" applyFill="1" applyBorder="1" applyAlignment="1">
      <alignment horizontal="left" vertical="center" readingOrder="2"/>
    </xf>
    <xf numFmtId="1" fontId="7" fillId="24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9" borderId="7" xfId="0" applyFont="1" applyFill="1" applyBorder="1" applyAlignment="1" applyProtection="1">
      <alignment horizontal="center" vertical="center"/>
      <protection locked="0"/>
    </xf>
    <xf numFmtId="0" fontId="17" fillId="10" borderId="1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left" vertical="center" readingOrder="2"/>
    </xf>
    <xf numFmtId="0" fontId="15" fillId="3" borderId="2" xfId="0" applyFont="1" applyFill="1" applyBorder="1" applyAlignment="1">
      <alignment horizontal="left" vertical="center" readingOrder="2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7" fillId="8" borderId="13" xfId="0" applyFont="1" applyFill="1" applyBorder="1" applyAlignment="1" applyProtection="1">
      <alignment horizontal="center" vertical="center"/>
      <protection locked="0"/>
    </xf>
    <xf numFmtId="0" fontId="7" fillId="8" borderId="14" xfId="0" applyFont="1" applyFill="1" applyBorder="1" applyAlignment="1" applyProtection="1">
      <alignment horizontal="center" vertical="center"/>
      <protection locked="0"/>
    </xf>
    <xf numFmtId="0" fontId="5" fillId="3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readingOrder="2"/>
    </xf>
    <xf numFmtId="0" fontId="15" fillId="0" borderId="0" xfId="0" applyFont="1" applyAlignment="1">
      <alignment horizontal="left" vertical="center" readingOrder="2"/>
    </xf>
    <xf numFmtId="0" fontId="28" fillId="0" borderId="0" xfId="0" applyFont="1" applyAlignment="1">
      <alignment horizontal="right" vertical="center" readingOrder="2"/>
    </xf>
    <xf numFmtId="0" fontId="14" fillId="9" borderId="6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2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center" vertical="center" readingOrder="2"/>
    </xf>
    <xf numFmtId="0" fontId="3" fillId="4" borderId="1" xfId="3" applyFont="1" applyFill="1" applyBorder="1" applyAlignment="1">
      <alignment horizontal="center" vertical="center"/>
    </xf>
    <xf numFmtId="1" fontId="18" fillId="14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 wrapText="1" readingOrder="2"/>
    </xf>
    <xf numFmtId="0" fontId="29" fillId="15" borderId="3" xfId="0" applyFont="1" applyFill="1" applyBorder="1" applyAlignment="1">
      <alignment horizontal="center" vertical="center" wrapText="1" readingOrder="2"/>
    </xf>
    <xf numFmtId="0" fontId="29" fillId="15" borderId="2" xfId="0" applyFont="1" applyFill="1" applyBorder="1" applyAlignment="1">
      <alignment horizontal="center" vertical="center" wrapText="1" readingOrder="2"/>
    </xf>
    <xf numFmtId="0" fontId="3" fillId="17" borderId="1" xfId="3" applyFont="1" applyFill="1" applyBorder="1" applyAlignment="1">
      <alignment horizontal="center" vertical="center"/>
    </xf>
    <xf numFmtId="1" fontId="14" fillId="14" borderId="1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 wrapText="1" readingOrder="2"/>
    </xf>
    <xf numFmtId="0" fontId="29" fillId="0" borderId="1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6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3" fillId="20" borderId="13" xfId="0" applyFont="1" applyFill="1" applyBorder="1" applyAlignment="1">
      <alignment horizontal="center" vertical="center"/>
    </xf>
    <xf numFmtId="0" fontId="3" fillId="20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8" fillId="16" borderId="0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4" fillId="0" borderId="0" xfId="0" applyFont="1" applyAlignment="1">
      <alignment horizontal="center" vertical="center" readingOrder="2"/>
    </xf>
    <xf numFmtId="0" fontId="30" fillId="0" borderId="0" xfId="0" applyFont="1" applyAlignment="1">
      <alignment horizontal="center" vertical="center"/>
    </xf>
    <xf numFmtId="0" fontId="3" fillId="16" borderId="0" xfId="3" applyFont="1" applyFill="1" applyBorder="1" applyAlignment="1">
      <alignment horizontal="center" vertical="center"/>
    </xf>
    <xf numFmtId="0" fontId="25" fillId="16" borderId="0" xfId="3" applyFont="1" applyFill="1" applyBorder="1" applyAlignment="1">
      <alignment horizontal="center" vertical="center"/>
    </xf>
    <xf numFmtId="1" fontId="18" fillId="16" borderId="0" xfId="0" applyNumberFormat="1" applyFont="1" applyFill="1" applyBorder="1" applyAlignment="1">
      <alignment horizontal="center" vertical="center"/>
    </xf>
    <xf numFmtId="0" fontId="7" fillId="29" borderId="9" xfId="0" applyFont="1" applyFill="1" applyBorder="1" applyAlignment="1" applyProtection="1">
      <alignment horizontal="center" vertical="center"/>
      <protection locked="0"/>
    </xf>
    <xf numFmtId="0" fontId="7" fillId="29" borderId="10" xfId="0" applyFont="1" applyFill="1" applyBorder="1" applyAlignment="1" applyProtection="1">
      <alignment horizontal="center" vertical="center"/>
      <protection locked="0"/>
    </xf>
    <xf numFmtId="0" fontId="4" fillId="28" borderId="3" xfId="0" applyFont="1" applyFill="1" applyBorder="1" applyAlignment="1">
      <alignment horizontal="center" vertical="center"/>
    </xf>
    <xf numFmtId="0" fontId="15" fillId="28" borderId="6" xfId="0" applyFont="1" applyFill="1" applyBorder="1" applyAlignment="1">
      <alignment horizontal="left" vertical="center" readingOrder="2"/>
    </xf>
    <xf numFmtId="0" fontId="15" fillId="28" borderId="2" xfId="0" applyFont="1" applyFill="1" applyBorder="1" applyAlignment="1">
      <alignment horizontal="left" vertical="center" readingOrder="2"/>
    </xf>
    <xf numFmtId="0" fontId="7" fillId="29" borderId="11" xfId="0" applyFont="1" applyFill="1" applyBorder="1" applyAlignment="1" applyProtection="1">
      <alignment horizontal="center" vertical="center"/>
      <protection locked="0"/>
    </xf>
    <xf numFmtId="0" fontId="7" fillId="29" borderId="12" xfId="0" applyFont="1" applyFill="1" applyBorder="1" applyAlignment="1" applyProtection="1">
      <alignment horizontal="center" vertical="center"/>
      <protection locked="0"/>
    </xf>
    <xf numFmtId="0" fontId="7" fillId="29" borderId="13" xfId="0" applyFont="1" applyFill="1" applyBorder="1" applyAlignment="1" applyProtection="1">
      <alignment horizontal="center" vertical="center"/>
      <protection locked="0"/>
    </xf>
    <xf numFmtId="0" fontId="7" fillId="29" borderId="14" xfId="0" applyFont="1" applyFill="1" applyBorder="1" applyAlignment="1" applyProtection="1">
      <alignment horizontal="center" vertical="center"/>
      <protection locked="0"/>
    </xf>
    <xf numFmtId="0" fontId="5" fillId="28" borderId="1" xfId="3" applyFont="1" applyFill="1" applyBorder="1" applyAlignment="1">
      <alignment horizontal="center" vertical="center"/>
    </xf>
    <xf numFmtId="0" fontId="19" fillId="29" borderId="1" xfId="3" applyFont="1" applyFill="1" applyBorder="1" applyAlignment="1" applyProtection="1">
      <alignment horizontal="center" vertical="center"/>
      <protection locked="0"/>
    </xf>
    <xf numFmtId="0" fontId="7" fillId="24" borderId="9" xfId="0" applyFont="1" applyFill="1" applyBorder="1" applyAlignment="1" applyProtection="1">
      <alignment horizontal="center" vertical="center"/>
      <protection locked="0"/>
    </xf>
    <xf numFmtId="0" fontId="7" fillId="24" borderId="10" xfId="0" applyFont="1" applyFill="1" applyBorder="1" applyAlignment="1" applyProtection="1">
      <alignment horizontal="center" vertical="center"/>
      <protection locked="0"/>
    </xf>
    <xf numFmtId="0" fontId="17" fillId="23" borderId="7" xfId="0" applyFont="1" applyFill="1" applyBorder="1" applyAlignment="1">
      <alignment horizontal="center" vertical="center"/>
    </xf>
    <xf numFmtId="0" fontId="14" fillId="23" borderId="0" xfId="0" applyFont="1" applyFill="1" applyBorder="1" applyAlignment="1">
      <alignment horizontal="center" vertical="center"/>
    </xf>
    <xf numFmtId="0" fontId="14" fillId="23" borderId="8" xfId="0" applyFont="1" applyFill="1" applyBorder="1" applyAlignment="1">
      <alignment horizontal="center" vertical="center"/>
    </xf>
    <xf numFmtId="0" fontId="14" fillId="23" borderId="7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0" fontId="15" fillId="21" borderId="6" xfId="0" applyFont="1" applyFill="1" applyBorder="1" applyAlignment="1">
      <alignment horizontal="left" vertical="center" readingOrder="2"/>
    </xf>
    <xf numFmtId="0" fontId="15" fillId="21" borderId="2" xfId="0" applyFont="1" applyFill="1" applyBorder="1" applyAlignment="1">
      <alignment horizontal="left" vertical="center" readingOrder="2"/>
    </xf>
    <xf numFmtId="0" fontId="7" fillId="24" borderId="11" xfId="0" applyFont="1" applyFill="1" applyBorder="1" applyAlignment="1" applyProtection="1">
      <alignment horizontal="center" vertical="center"/>
      <protection locked="0"/>
    </xf>
    <xf numFmtId="0" fontId="7" fillId="24" borderId="12" xfId="0" applyFont="1" applyFill="1" applyBorder="1" applyAlignment="1" applyProtection="1">
      <alignment horizontal="center" vertical="center"/>
      <protection locked="0"/>
    </xf>
    <xf numFmtId="0" fontId="7" fillId="24" borderId="13" xfId="0" applyFont="1" applyFill="1" applyBorder="1" applyAlignment="1" applyProtection="1">
      <alignment horizontal="center" vertical="center"/>
      <protection locked="0"/>
    </xf>
    <xf numFmtId="0" fontId="7" fillId="24" borderId="14" xfId="0" applyFont="1" applyFill="1" applyBorder="1" applyAlignment="1" applyProtection="1">
      <alignment horizontal="center" vertical="center"/>
      <protection locked="0"/>
    </xf>
    <xf numFmtId="0" fontId="5" fillId="21" borderId="1" xfId="3" applyFont="1" applyFill="1" applyBorder="1" applyAlignment="1">
      <alignment horizontal="center" vertical="center"/>
    </xf>
    <xf numFmtId="0" fontId="19" fillId="24" borderId="1" xfId="3" applyFont="1" applyFill="1" applyBorder="1" applyAlignment="1" applyProtection="1">
      <alignment horizontal="center" vertical="center"/>
      <protection locked="0"/>
    </xf>
    <xf numFmtId="0" fontId="14" fillId="23" borderId="6" xfId="0" applyFont="1" applyFill="1" applyBorder="1" applyAlignment="1">
      <alignment horizontal="center" vertical="center"/>
    </xf>
    <xf numFmtId="0" fontId="14" fillId="23" borderId="2" xfId="0" applyFont="1" applyFill="1" applyBorder="1" applyAlignment="1">
      <alignment horizontal="center" vertical="center"/>
    </xf>
    <xf numFmtId="0" fontId="14" fillId="22" borderId="6" xfId="0" applyFont="1" applyFill="1" applyBorder="1" applyAlignment="1">
      <alignment horizontal="center" vertical="center"/>
    </xf>
    <xf numFmtId="0" fontId="14" fillId="22" borderId="3" xfId="0" applyFont="1" applyFill="1" applyBorder="1" applyAlignment="1">
      <alignment horizontal="center" vertical="center"/>
    </xf>
    <xf numFmtId="0" fontId="14" fillId="22" borderId="2" xfId="0" applyFont="1" applyFill="1" applyBorder="1" applyAlignment="1">
      <alignment horizontal="center" vertical="center"/>
    </xf>
    <xf numFmtId="1" fontId="18" fillId="27" borderId="1" xfId="0" applyNumberFormat="1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/>
    </xf>
    <xf numFmtId="1" fontId="14" fillId="27" borderId="1" xfId="0" applyNumberFormat="1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</cellXfs>
  <cellStyles count="4">
    <cellStyle name="Normal" xfId="0" builtinId="0"/>
    <cellStyle name="إدخال" xfId="1" builtinId="20"/>
    <cellStyle name="حساب" xfId="2" builtinId="22"/>
    <cellStyle name="خلية تدقيق" xfId="3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161925</xdr:colOff>
          <xdr:row>18</xdr:row>
          <xdr:rowOff>28575</xdr:rowOff>
        </xdr:from>
        <xdr:to>
          <xdr:col>3</xdr:col>
          <xdr:colOff>323850</xdr:colOff>
          <xdr:row>20</xdr:row>
          <xdr:rowOff>28575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45720" tIns="41148" rIns="45720" bIns="41148" anchor="ctr" upright="1"/>
            <a:lstStyle/>
            <a:p>
              <a:pPr algn="ctr" rtl="1">
                <a:defRPr sz="1000"/>
              </a:pPr>
              <a:r>
                <a:rPr lang="ar-SA" sz="2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طــبــاعــــة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104775</xdr:colOff>
      <xdr:row>17</xdr:row>
      <xdr:rowOff>238125</xdr:rowOff>
    </xdr:from>
    <xdr:to>
      <xdr:col>3</xdr:col>
      <xdr:colOff>361950</xdr:colOff>
      <xdr:row>20</xdr:row>
      <xdr:rowOff>38100</xdr:rowOff>
    </xdr:to>
    <xdr:sp macro="[2]!print8" textlink="">
      <xdr:nvSpPr>
        <xdr:cNvPr id="3" name="مستطيل مستدير الزوايا 2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>
          <a:off x="10927384800" y="4362450"/>
          <a:ext cx="1533525" cy="5905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28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solidFill>
                <a:schemeClr val="tx1"/>
              </a:solidFill>
              <a:effectLst>
                <a:outerShdw blurRad="50800" algn="tl" rotWithShape="0">
                  <a:srgbClr val="000000"/>
                </a:outerShdw>
              </a:effectLst>
            </a:rPr>
            <a:t>طبـاعـة</a:t>
          </a:r>
        </a:p>
      </xdr:txBody>
    </xdr:sp>
    <xdr:clientData/>
  </xdr:twoCellAnchor>
  <xdr:twoCellAnchor editAs="oneCell">
    <xdr:from>
      <xdr:col>14</xdr:col>
      <xdr:colOff>169329</xdr:colOff>
      <xdr:row>1</xdr:row>
      <xdr:rowOff>84665</xdr:rowOff>
    </xdr:from>
    <xdr:to>
      <xdr:col>15</xdr:col>
      <xdr:colOff>572555</xdr:colOff>
      <xdr:row>8</xdr:row>
      <xdr:rowOff>21166</xdr:rowOff>
    </xdr:to>
    <xdr:pic>
      <xdr:nvPicPr>
        <xdr:cNvPr id="4" name="صورة 3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4867895" y="313265"/>
          <a:ext cx="1422401" cy="14128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161925</xdr:colOff>
          <xdr:row>18</xdr:row>
          <xdr:rowOff>28575</xdr:rowOff>
        </xdr:from>
        <xdr:to>
          <xdr:col>3</xdr:col>
          <xdr:colOff>323850</xdr:colOff>
          <xdr:row>20</xdr:row>
          <xdr:rowOff>28575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45720" tIns="41148" rIns="45720" bIns="41148" anchor="ctr" upright="1"/>
            <a:lstStyle/>
            <a:p>
              <a:pPr algn="ctr" rtl="1">
                <a:defRPr sz="1000"/>
              </a:pPr>
              <a:r>
                <a:rPr lang="ar-SA" sz="2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طــبــاعــــة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104775</xdr:colOff>
      <xdr:row>17</xdr:row>
      <xdr:rowOff>238125</xdr:rowOff>
    </xdr:from>
    <xdr:to>
      <xdr:col>3</xdr:col>
      <xdr:colOff>361950</xdr:colOff>
      <xdr:row>20</xdr:row>
      <xdr:rowOff>38100</xdr:rowOff>
    </xdr:to>
    <xdr:sp macro="[2]!print8" textlink="">
      <xdr:nvSpPr>
        <xdr:cNvPr id="3" name="مستطيل مستدير الزوايا 2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>
          <a:off x="10925222625" y="4362450"/>
          <a:ext cx="1381125" cy="5905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28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solidFill>
                <a:schemeClr val="tx1"/>
              </a:solidFill>
              <a:effectLst>
                <a:outerShdw blurRad="50800" algn="tl" rotWithShape="0">
                  <a:srgbClr val="000000"/>
                </a:outerShdw>
              </a:effectLst>
            </a:rPr>
            <a:t>طبـاعـة</a:t>
          </a:r>
        </a:p>
      </xdr:txBody>
    </xdr:sp>
    <xdr:clientData/>
  </xdr:twoCellAnchor>
  <xdr:twoCellAnchor editAs="oneCell">
    <xdr:from>
      <xdr:col>14</xdr:col>
      <xdr:colOff>169329</xdr:colOff>
      <xdr:row>1</xdr:row>
      <xdr:rowOff>84665</xdr:rowOff>
    </xdr:from>
    <xdr:to>
      <xdr:col>15</xdr:col>
      <xdr:colOff>572555</xdr:colOff>
      <xdr:row>8</xdr:row>
      <xdr:rowOff>21166</xdr:rowOff>
    </xdr:to>
    <xdr:pic>
      <xdr:nvPicPr>
        <xdr:cNvPr id="4" name="صورة 3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4210670" y="313265"/>
          <a:ext cx="1384301" cy="14128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161925</xdr:colOff>
          <xdr:row>18</xdr:row>
          <xdr:rowOff>28575</xdr:rowOff>
        </xdr:from>
        <xdr:to>
          <xdr:col>3</xdr:col>
          <xdr:colOff>323850</xdr:colOff>
          <xdr:row>20</xdr:row>
          <xdr:rowOff>28575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45720" tIns="41148" rIns="45720" bIns="41148" anchor="ctr" upright="1"/>
            <a:lstStyle/>
            <a:p>
              <a:pPr algn="ctr" rtl="1">
                <a:defRPr sz="1000"/>
              </a:pPr>
              <a:r>
                <a:rPr lang="ar-SA" sz="2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طــبــاعــــة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104775</xdr:colOff>
      <xdr:row>17</xdr:row>
      <xdr:rowOff>238125</xdr:rowOff>
    </xdr:from>
    <xdr:to>
      <xdr:col>3</xdr:col>
      <xdr:colOff>361950</xdr:colOff>
      <xdr:row>20</xdr:row>
      <xdr:rowOff>38100</xdr:rowOff>
    </xdr:to>
    <xdr:sp macro="[2]!print8" textlink="">
      <xdr:nvSpPr>
        <xdr:cNvPr id="3" name="مستطيل مستدير الزوايا 2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>
          <a:off x="10925222625" y="4362450"/>
          <a:ext cx="1381125" cy="5905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28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solidFill>
                <a:schemeClr val="tx1"/>
              </a:solidFill>
              <a:effectLst>
                <a:outerShdw blurRad="50800" algn="tl" rotWithShape="0">
                  <a:srgbClr val="000000"/>
                </a:outerShdw>
              </a:effectLst>
            </a:rPr>
            <a:t>طبـاعـة</a:t>
          </a:r>
        </a:p>
      </xdr:txBody>
    </xdr:sp>
    <xdr:clientData/>
  </xdr:twoCellAnchor>
  <xdr:twoCellAnchor editAs="oneCell">
    <xdr:from>
      <xdr:col>14</xdr:col>
      <xdr:colOff>169329</xdr:colOff>
      <xdr:row>1</xdr:row>
      <xdr:rowOff>84665</xdr:rowOff>
    </xdr:from>
    <xdr:to>
      <xdr:col>15</xdr:col>
      <xdr:colOff>572555</xdr:colOff>
      <xdr:row>8</xdr:row>
      <xdr:rowOff>21166</xdr:rowOff>
    </xdr:to>
    <xdr:pic>
      <xdr:nvPicPr>
        <xdr:cNvPr id="4" name="صورة 3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4210670" y="313265"/>
          <a:ext cx="1384301" cy="14128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e7en/Desktop/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سماء مهندسي المكاتب 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ماكرو6"/>
      <sheetName val="ماكرو5"/>
      <sheetName val="ماكرو4"/>
      <sheetName val="ماكرو3"/>
      <sheetName val="ماكرو2"/>
      <sheetName val="ماكرو1"/>
      <sheetName val="اتعاب 2021"/>
      <sheetName val="الفاتورة"/>
      <sheetName val="بياني"/>
      <sheetName val="اسماء مهندسي المكاتب "/>
      <sheetName val="تعديل الاسعار"/>
      <sheetName val="القوى المحركة"/>
      <sheetName val="2"/>
    </sheetNames>
    <definedNames>
      <definedName name="print8"/>
      <definedName name="طباعة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92"/>
  <sheetViews>
    <sheetView rightToLeft="1" tabSelected="1" workbookViewId="0">
      <selection activeCell="B12" sqref="B12"/>
    </sheetView>
  </sheetViews>
  <sheetFormatPr defaultColWidth="8.75" defaultRowHeight="14.25" x14ac:dyDescent="0.2"/>
  <cols>
    <col min="1" max="1" width="24.625" style="8" bestFit="1" customWidth="1"/>
    <col min="2" max="2" width="15.25" style="8" bestFit="1" customWidth="1"/>
    <col min="3" max="3" width="14.75" style="8" bestFit="1" customWidth="1"/>
    <col min="4" max="4" width="14.25" style="8" bestFit="1" customWidth="1"/>
    <col min="5" max="5" width="19.625" style="8" bestFit="1" customWidth="1"/>
    <col min="6" max="6" width="8" style="8" bestFit="1" customWidth="1"/>
    <col min="7" max="7" width="6.875" style="8" bestFit="1" customWidth="1"/>
    <col min="8" max="8" width="7.125" style="8" bestFit="1" customWidth="1"/>
    <col min="9" max="9" width="15.25" style="8" bestFit="1" customWidth="1"/>
    <col min="10" max="10" width="12.25" style="8" bestFit="1" customWidth="1"/>
    <col min="11" max="11" width="11.125" style="8" customWidth="1"/>
    <col min="12" max="12" width="3.75" style="8" customWidth="1"/>
    <col min="13" max="13" width="21.25" style="8" bestFit="1" customWidth="1"/>
    <col min="14" max="14" width="9.375" style="8" bestFit="1" customWidth="1"/>
    <col min="15" max="15" width="12.875" style="8" bestFit="1" customWidth="1"/>
    <col min="16" max="16" width="13" style="8" bestFit="1" customWidth="1"/>
    <col min="17" max="17" width="13.5" style="8" bestFit="1" customWidth="1"/>
    <col min="18" max="18" width="8.75" style="8" bestFit="1" customWidth="1"/>
    <col min="19" max="19" width="8" style="8" bestFit="1" customWidth="1"/>
    <col min="20" max="20" width="3.375" style="8" bestFit="1" customWidth="1"/>
    <col min="21" max="24" width="8.75" style="8"/>
    <col min="25" max="25" width="15.75" style="8" customWidth="1"/>
    <col min="26" max="16384" width="8.75" style="8"/>
  </cols>
  <sheetData>
    <row r="1" spans="1:24" ht="18" customHeight="1" x14ac:dyDescent="0.2">
      <c r="A1" s="115" t="s">
        <v>35</v>
      </c>
      <c r="B1" s="116" t="s">
        <v>36</v>
      </c>
      <c r="C1" s="118">
        <v>520000</v>
      </c>
      <c r="D1" s="119"/>
      <c r="E1" s="7" t="s">
        <v>37</v>
      </c>
      <c r="F1" s="111" t="s">
        <v>38</v>
      </c>
      <c r="G1" s="112"/>
      <c r="H1" s="120" t="s">
        <v>39</v>
      </c>
      <c r="I1" s="122">
        <v>25</v>
      </c>
      <c r="J1" s="123"/>
    </row>
    <row r="2" spans="1:24" ht="21" customHeight="1" x14ac:dyDescent="0.2">
      <c r="A2" s="115"/>
      <c r="B2" s="117"/>
      <c r="C2" s="118"/>
      <c r="D2" s="119"/>
      <c r="E2" s="7" t="s">
        <v>40</v>
      </c>
      <c r="F2" s="111" t="s">
        <v>38</v>
      </c>
      <c r="G2" s="112"/>
      <c r="H2" s="121"/>
      <c r="I2" s="124"/>
      <c r="J2" s="125"/>
      <c r="M2" s="105" t="s">
        <v>41</v>
      </c>
      <c r="N2" s="105"/>
      <c r="O2" s="105"/>
      <c r="Q2" s="106" t="s">
        <v>42</v>
      </c>
      <c r="R2" s="106"/>
      <c r="S2" s="106"/>
      <c r="T2" s="106"/>
      <c r="U2" s="9"/>
      <c r="V2" s="9"/>
      <c r="W2" s="9"/>
      <c r="X2" s="9"/>
    </row>
    <row r="3" spans="1:24" ht="18" customHeight="1" x14ac:dyDescent="0.2">
      <c r="A3" s="107" t="s">
        <v>43</v>
      </c>
      <c r="B3" s="108" t="s">
        <v>107</v>
      </c>
      <c r="C3" s="109"/>
      <c r="D3" s="110"/>
      <c r="E3" s="7" t="s">
        <v>44</v>
      </c>
      <c r="F3" s="111" t="s">
        <v>45</v>
      </c>
      <c r="G3" s="112"/>
      <c r="H3" s="12" t="s">
        <v>46</v>
      </c>
      <c r="I3" s="111"/>
      <c r="J3" s="112"/>
      <c r="M3" s="105"/>
      <c r="N3" s="105"/>
      <c r="O3" s="105"/>
      <c r="Q3" s="106"/>
      <c r="R3" s="106"/>
      <c r="S3" s="106"/>
      <c r="T3" s="106"/>
      <c r="U3" s="9"/>
      <c r="V3" s="9"/>
      <c r="W3" s="9"/>
      <c r="X3" s="9"/>
    </row>
    <row r="4" spans="1:24" ht="15" customHeight="1" x14ac:dyDescent="0.25">
      <c r="A4" s="107"/>
      <c r="B4" s="108"/>
      <c r="C4" s="109"/>
      <c r="D4" s="110"/>
      <c r="E4" s="13" t="s">
        <v>47</v>
      </c>
      <c r="F4" s="14">
        <v>260</v>
      </c>
      <c r="G4" s="12" t="s">
        <v>48</v>
      </c>
      <c r="H4" s="111" t="s">
        <v>49</v>
      </c>
      <c r="I4" s="112"/>
      <c r="M4" s="113" t="s">
        <v>50</v>
      </c>
      <c r="N4" s="113"/>
      <c r="O4" s="113"/>
      <c r="Q4" s="114" t="s">
        <v>51</v>
      </c>
      <c r="R4" s="114"/>
      <c r="S4" s="114"/>
      <c r="T4" s="15"/>
      <c r="U4" s="15"/>
      <c r="V4" s="15"/>
      <c r="W4" s="15"/>
      <c r="X4" s="15"/>
    </row>
    <row r="5" spans="1:24" ht="12" customHeight="1" x14ac:dyDescent="0.2">
      <c r="A5" s="16"/>
      <c r="B5" s="16"/>
      <c r="C5" s="16"/>
      <c r="D5" s="16"/>
      <c r="E5" s="16"/>
      <c r="F5" s="16"/>
      <c r="M5" s="113"/>
      <c r="N5" s="113"/>
      <c r="O5" s="113"/>
      <c r="Q5" s="114"/>
      <c r="R5" s="114"/>
      <c r="S5" s="114"/>
      <c r="T5" s="15"/>
      <c r="U5" s="15"/>
      <c r="V5" s="15"/>
      <c r="W5" s="15"/>
      <c r="X5" s="15"/>
    </row>
    <row r="6" spans="1:24" ht="15" customHeight="1" x14ac:dyDescent="0.2">
      <c r="A6" s="126" t="s">
        <v>32</v>
      </c>
      <c r="B6" s="127" t="s">
        <v>108</v>
      </c>
      <c r="C6" s="116" t="s">
        <v>52</v>
      </c>
      <c r="D6" s="128" t="s">
        <v>53</v>
      </c>
      <c r="M6" s="129" t="s">
        <v>54</v>
      </c>
      <c r="N6" s="113" t="str">
        <f>D6</f>
        <v>الحسكه</v>
      </c>
      <c r="O6" s="113"/>
      <c r="P6" s="17"/>
      <c r="Q6" s="132" t="str">
        <f>IF(AND(N6="قامشلو"),(J18),IF(AND(N6="ديريك"),(J20),IF(AND(N6="الحسكه"),(J19),IF(AND(N6="عاموده"),(J22)))))</f>
        <v>Hesekê</v>
      </c>
      <c r="R6" s="133" t="s">
        <v>55</v>
      </c>
      <c r="S6" s="133"/>
      <c r="T6" s="9"/>
      <c r="U6" s="9"/>
      <c r="V6" s="9"/>
      <c r="W6" s="9"/>
      <c r="X6" s="9"/>
    </row>
    <row r="7" spans="1:24" ht="15.75" customHeight="1" x14ac:dyDescent="0.2">
      <c r="A7" s="126"/>
      <c r="B7" s="127"/>
      <c r="C7" s="117"/>
      <c r="D7" s="128"/>
      <c r="M7" s="129"/>
      <c r="N7" s="113"/>
      <c r="O7" s="113"/>
      <c r="Q7" s="132"/>
      <c r="R7" s="133"/>
      <c r="S7" s="133"/>
      <c r="T7" s="9"/>
      <c r="U7" s="9"/>
      <c r="V7" s="9"/>
      <c r="W7" s="9"/>
      <c r="X7" s="9"/>
    </row>
    <row r="8" spans="1:24" ht="19.5" customHeight="1" x14ac:dyDescent="0.2">
      <c r="A8" s="18" t="s">
        <v>56</v>
      </c>
      <c r="B8" s="19" t="s">
        <v>57</v>
      </c>
      <c r="C8" s="20" t="s">
        <v>58</v>
      </c>
      <c r="D8" s="21" t="s">
        <v>59</v>
      </c>
      <c r="E8" s="137" t="s">
        <v>52</v>
      </c>
      <c r="F8" s="137" t="s">
        <v>60</v>
      </c>
      <c r="I8" s="140" t="s">
        <v>61</v>
      </c>
      <c r="J8" s="140"/>
      <c r="M8" s="22" t="s">
        <v>62</v>
      </c>
      <c r="N8" s="141">
        <f ca="1">TODAY()</f>
        <v>46211</v>
      </c>
      <c r="O8" s="141"/>
      <c r="Q8" s="23">
        <f ca="1">TODAY()</f>
        <v>46211</v>
      </c>
      <c r="R8" s="114" t="s">
        <v>63</v>
      </c>
      <c r="S8" s="114"/>
      <c r="T8" s="15"/>
      <c r="U8" s="15"/>
      <c r="V8" s="15"/>
      <c r="W8" s="15"/>
      <c r="X8" s="15"/>
    </row>
    <row r="9" spans="1:24" ht="21" customHeight="1" x14ac:dyDescent="0.2">
      <c r="A9" s="24" t="s">
        <v>0</v>
      </c>
      <c r="B9" s="19" t="s">
        <v>64</v>
      </c>
      <c r="C9" s="20" t="s">
        <v>24</v>
      </c>
      <c r="D9" s="21" t="s">
        <v>28</v>
      </c>
      <c r="E9" s="138"/>
      <c r="F9" s="138"/>
      <c r="H9" s="8">
        <v>9</v>
      </c>
      <c r="I9" s="25" t="s">
        <v>65</v>
      </c>
      <c r="J9" s="25">
        <v>0.1</v>
      </c>
      <c r="M9" s="142" t="s">
        <v>66</v>
      </c>
      <c r="N9" s="142"/>
      <c r="O9" s="142"/>
      <c r="P9" s="142"/>
      <c r="Q9" s="142"/>
      <c r="R9" s="142"/>
      <c r="S9" s="142"/>
      <c r="T9" s="26"/>
      <c r="U9" s="26"/>
      <c r="V9" s="27"/>
      <c r="W9" s="27"/>
      <c r="X9" s="27"/>
    </row>
    <row r="10" spans="1:24" ht="21" customHeight="1" x14ac:dyDescent="0.2">
      <c r="A10" s="24" t="s">
        <v>67</v>
      </c>
      <c r="B10" s="19" t="s">
        <v>68</v>
      </c>
      <c r="C10" s="20" t="s">
        <v>68</v>
      </c>
      <c r="D10" s="21" t="s">
        <v>68</v>
      </c>
      <c r="E10" s="138"/>
      <c r="F10" s="138"/>
      <c r="H10" s="8">
        <v>10</v>
      </c>
      <c r="I10" s="25" t="s">
        <v>69</v>
      </c>
      <c r="J10" s="25">
        <v>0.2</v>
      </c>
      <c r="M10" s="143" t="s">
        <v>70</v>
      </c>
      <c r="N10" s="143"/>
      <c r="O10" s="143"/>
      <c r="P10" s="143"/>
      <c r="Q10" s="143"/>
      <c r="R10" s="143"/>
      <c r="S10" s="143"/>
      <c r="T10" s="28"/>
      <c r="U10" s="28"/>
      <c r="V10" s="28"/>
      <c r="W10" s="28"/>
      <c r="X10" s="29"/>
    </row>
    <row r="11" spans="1:24" ht="21" customHeight="1" x14ac:dyDescent="0.2">
      <c r="A11" s="18" t="s">
        <v>71</v>
      </c>
      <c r="B11" s="30" t="s">
        <v>30</v>
      </c>
      <c r="C11" s="30" t="s">
        <v>30</v>
      </c>
      <c r="D11" s="30" t="s">
        <v>30</v>
      </c>
      <c r="E11" s="139"/>
      <c r="F11" s="139"/>
      <c r="H11" s="8">
        <v>11</v>
      </c>
      <c r="I11" s="25"/>
      <c r="J11" s="25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4" ht="22.5" customHeight="1" x14ac:dyDescent="0.2">
      <c r="A12" s="31" t="s">
        <v>73</v>
      </c>
      <c r="B12" s="32">
        <v>184000</v>
      </c>
      <c r="C12" s="32">
        <v>115000</v>
      </c>
      <c r="D12" s="32">
        <v>115000</v>
      </c>
      <c r="E12" s="32">
        <v>23000</v>
      </c>
      <c r="F12" s="32">
        <v>23000</v>
      </c>
      <c r="G12" s="8">
        <f>SUM(B12:F12)</f>
        <v>460000</v>
      </c>
      <c r="H12" s="8">
        <v>12</v>
      </c>
      <c r="I12" s="25"/>
      <c r="J12" s="25"/>
      <c r="M12" s="33" t="s">
        <v>74</v>
      </c>
      <c r="N12" s="134" t="str">
        <f>F1</f>
        <v>علي الدرب</v>
      </c>
      <c r="O12" s="134"/>
      <c r="P12" s="135" t="s">
        <v>75</v>
      </c>
      <c r="Q12" s="136" t="str">
        <f>H4</f>
        <v>صيدلية او مستودع او مخبر او غيرها</v>
      </c>
      <c r="R12" s="136"/>
      <c r="V12" s="28"/>
      <c r="W12" s="28"/>
    </row>
    <row r="13" spans="1:24" ht="21.75" customHeight="1" x14ac:dyDescent="0.2">
      <c r="A13" s="18" t="s">
        <v>1</v>
      </c>
      <c r="B13" s="34">
        <f>IF(B11="داخل الصندوق بنسبة 25%",184000*25%,184000*10%)</f>
        <v>46000</v>
      </c>
      <c r="C13" s="49">
        <f>IF(C11="داخل الصندوق بنسبة 25%",115000*25%,115000*10%)</f>
        <v>28750</v>
      </c>
      <c r="D13" s="34">
        <f>IF(D11="داخل الصندوق بنسبة 25%",115000*25%,115000*10%)</f>
        <v>28750</v>
      </c>
      <c r="E13" s="35"/>
      <c r="F13" s="35"/>
      <c r="H13" s="8">
        <v>13</v>
      </c>
      <c r="I13" s="25" t="s">
        <v>72</v>
      </c>
      <c r="J13" s="25">
        <v>0.25</v>
      </c>
      <c r="M13" s="36" t="str">
        <f>E2</f>
        <v>صاحب العلاقة(الصيدلي) :</v>
      </c>
      <c r="N13" s="134" t="str">
        <f>F2</f>
        <v>علي الدرب</v>
      </c>
      <c r="O13" s="134"/>
      <c r="P13" s="135"/>
      <c r="Q13" s="136"/>
      <c r="R13" s="136"/>
      <c r="S13" s="37"/>
      <c r="T13" s="37"/>
      <c r="U13" s="36"/>
      <c r="V13" s="28"/>
      <c r="W13" s="38"/>
    </row>
    <row r="14" spans="1:24" ht="18" x14ac:dyDescent="0.25">
      <c r="A14" s="18" t="s">
        <v>2</v>
      </c>
      <c r="B14" s="34">
        <f>B12-B13</f>
        <v>138000</v>
      </c>
      <c r="C14" s="34">
        <f t="shared" ref="C14:D14" si="0">C12-C13</f>
        <v>86250</v>
      </c>
      <c r="D14" s="34">
        <f t="shared" si="0"/>
        <v>86250</v>
      </c>
      <c r="E14" s="35"/>
      <c r="F14" s="35"/>
      <c r="H14" s="8">
        <v>14</v>
      </c>
      <c r="I14" s="25" t="s">
        <v>76</v>
      </c>
      <c r="J14" s="25">
        <v>0.4</v>
      </c>
      <c r="M14" s="39"/>
      <c r="N14" s="40"/>
      <c r="O14" s="40"/>
      <c r="P14" s="39"/>
      <c r="Q14" s="39"/>
      <c r="R14" s="39"/>
      <c r="S14" s="39"/>
      <c r="T14" s="39"/>
      <c r="U14" s="41"/>
      <c r="V14" s="42"/>
    </row>
    <row r="15" spans="1:24" ht="20.25" x14ac:dyDescent="0.25">
      <c r="A15" s="18" t="s">
        <v>77</v>
      </c>
      <c r="B15" s="34">
        <f>IF(AND(B10="لا يوجد"),(0),IF(AND(B11=I9),((B14)*0.1),IF(AND(B11=I10),((B14)*0.1),IF(AND(B11=I11),((B14)*0.1),IF(AND(B11=I12),((B14)*0.1),IF(AND(B11=I13),((B14)*0.1),IF(AND(B11=I14),((B14)*0.1),IF(AND(B11=I15),((B14)*0.1)))))))))</f>
        <v>0</v>
      </c>
      <c r="C15" s="34">
        <f>IF(AND(C10="لا يوجد"),(0),IF(AND(C11=I9),((C14)*0.1),IF(AND(C11=I10),((C14)*0.1),IF(AND(C11=I11),((C14)*0.1),IF(AND(C11=I12),((C14)*0.1),IF(AND(C11=I13),((C14)*0.1),IF(AND(C11=I14),((C14)*0.1),IF(AND(C11=I15),((C14)*0.1)))))))))</f>
        <v>0</v>
      </c>
      <c r="D15" s="34">
        <f>IF(AND(D10="لا يوجد"),(0),IF(AND(D11=I9),((D14)*0.1),IF(AND(D11=I10),((D14)*0.1),IF(AND(D11=I11),((D14)*0.1),IF(AND(D11=I12),((D14)*0.1),IF(AND(D11=I13),((D14)*0.1),IF(AND(D11=I14),((D14)*0.1),IF(AND(D11=I15),((D14)*0.1)))))))))</f>
        <v>0</v>
      </c>
      <c r="E15" s="35"/>
      <c r="F15" s="35"/>
      <c r="H15" s="8">
        <v>15</v>
      </c>
      <c r="I15" s="25"/>
      <c r="J15" s="25"/>
      <c r="M15" s="43" t="s">
        <v>78</v>
      </c>
      <c r="N15" s="44">
        <f>B21</f>
        <v>520000</v>
      </c>
      <c r="O15" s="6" t="s">
        <v>79</v>
      </c>
      <c r="P15" s="45" t="s">
        <v>47</v>
      </c>
      <c r="Q15" s="40">
        <f>F4</f>
        <v>260</v>
      </c>
      <c r="R15" s="37" t="s">
        <v>80</v>
      </c>
      <c r="S15" s="33" t="str">
        <f>B6</f>
        <v>&lt;60</v>
      </c>
      <c r="T15" s="36" t="s">
        <v>81</v>
      </c>
      <c r="U15" s="114"/>
      <c r="V15" s="114"/>
      <c r="W15" s="38"/>
    </row>
    <row r="16" spans="1:24" ht="18" x14ac:dyDescent="0.2">
      <c r="A16" s="18" t="s">
        <v>3</v>
      </c>
      <c r="B16" s="46">
        <v>20000</v>
      </c>
      <c r="C16" s="46">
        <v>20000</v>
      </c>
      <c r="D16" s="46">
        <v>20000</v>
      </c>
      <c r="E16" s="35"/>
      <c r="F16" s="35"/>
      <c r="M16" s="39"/>
      <c r="N16" s="39"/>
      <c r="O16" s="39"/>
      <c r="P16" s="39"/>
      <c r="Q16" s="47"/>
      <c r="R16" s="47"/>
      <c r="U16" s="39"/>
      <c r="V16" s="42"/>
    </row>
    <row r="17" spans="1:34" ht="27" customHeight="1" x14ac:dyDescent="0.2">
      <c r="A17" s="18" t="s">
        <v>82</v>
      </c>
      <c r="B17" s="34">
        <f>B14-B15</f>
        <v>138000</v>
      </c>
      <c r="C17" s="34">
        <f>C14-C15</f>
        <v>86250</v>
      </c>
      <c r="D17" s="34">
        <f>D14-D15</f>
        <v>86250</v>
      </c>
      <c r="E17" s="35"/>
      <c r="F17" s="35"/>
      <c r="H17" s="15"/>
      <c r="I17" s="130" t="s">
        <v>83</v>
      </c>
      <c r="J17" s="130"/>
      <c r="M17" s="22" t="s">
        <v>44</v>
      </c>
      <c r="N17" s="131" t="str">
        <f>F3</f>
        <v>حسكة أولى</v>
      </c>
      <c r="O17" s="131"/>
      <c r="P17" s="22" t="s">
        <v>39</v>
      </c>
      <c r="Q17" s="48">
        <f>I1</f>
        <v>25</v>
      </c>
      <c r="R17" s="22" t="s">
        <v>46</v>
      </c>
      <c r="S17" s="39">
        <f>I3</f>
        <v>0</v>
      </c>
      <c r="U17" s="48"/>
      <c r="V17" s="48"/>
      <c r="W17" s="37"/>
    </row>
    <row r="18" spans="1:34" ht="20.25" customHeight="1" x14ac:dyDescent="0.2">
      <c r="A18" s="144" t="s">
        <v>33</v>
      </c>
      <c r="B18" s="145">
        <f>SUM(B12:F12)</f>
        <v>460000</v>
      </c>
      <c r="C18" s="50"/>
      <c r="D18" s="50"/>
      <c r="E18" s="44">
        <f>بياني1!B13</f>
        <v>46000</v>
      </c>
      <c r="F18" s="51"/>
      <c r="I18" s="52" t="s">
        <v>84</v>
      </c>
      <c r="J18" s="25" t="s">
        <v>85</v>
      </c>
      <c r="M18" s="37"/>
      <c r="N18" s="37"/>
      <c r="O18" s="37"/>
      <c r="P18" s="37"/>
      <c r="Q18" s="37"/>
      <c r="R18" s="37"/>
      <c r="S18" s="37"/>
    </row>
    <row r="19" spans="1:34" ht="15.75" customHeight="1" x14ac:dyDescent="0.2">
      <c r="A19" s="144"/>
      <c r="B19" s="146"/>
      <c r="C19" s="50"/>
      <c r="D19" s="50"/>
      <c r="E19" s="50"/>
      <c r="F19" s="51"/>
      <c r="I19" s="52" t="s">
        <v>53</v>
      </c>
      <c r="J19" s="25" t="s">
        <v>86</v>
      </c>
      <c r="M19" s="53"/>
      <c r="N19" s="53"/>
      <c r="O19" s="54" t="str">
        <f>B8</f>
        <v>معماري_حسكه</v>
      </c>
      <c r="P19" s="54" t="str">
        <f>C8</f>
        <v>كهربا_حسكه</v>
      </c>
      <c r="Q19" s="54" t="str">
        <f>D8</f>
        <v>ميكانيك_حسكه</v>
      </c>
      <c r="R19" s="147" t="str">
        <f>E8</f>
        <v>الغرفة</v>
      </c>
      <c r="S19" s="147" t="str">
        <f>F8</f>
        <v>الاتحاد</v>
      </c>
    </row>
    <row r="20" spans="1:34" ht="26.25" customHeight="1" x14ac:dyDescent="0.2">
      <c r="A20" s="55" t="s">
        <v>87</v>
      </c>
      <c r="B20" s="34">
        <f>B16+C16+D16</f>
        <v>60000</v>
      </c>
      <c r="C20" s="50"/>
      <c r="D20" s="50"/>
      <c r="E20" s="50"/>
      <c r="F20" s="51"/>
      <c r="I20" s="52" t="s">
        <v>88</v>
      </c>
      <c r="J20" s="25" t="s">
        <v>89</v>
      </c>
      <c r="M20" s="53"/>
      <c r="N20" s="53"/>
      <c r="O20" s="147" t="str">
        <f>B11</f>
        <v>داخل الصندوق بنسبة 25%</v>
      </c>
      <c r="P20" s="147" t="str">
        <f>C11</f>
        <v>داخل الصندوق بنسبة 25%</v>
      </c>
      <c r="Q20" s="147" t="str">
        <f>D11</f>
        <v>داخل الصندوق بنسبة 25%</v>
      </c>
      <c r="R20" s="148"/>
      <c r="S20" s="148"/>
      <c r="T20" s="56"/>
      <c r="U20" s="56"/>
      <c r="V20" s="56"/>
      <c r="W20" s="56"/>
      <c r="X20" s="56"/>
      <c r="Y20" s="56"/>
    </row>
    <row r="21" spans="1:34" ht="14.25" customHeight="1" x14ac:dyDescent="0.2">
      <c r="A21" s="150" t="s">
        <v>4</v>
      </c>
      <c r="B21" s="151">
        <f>B18+B20</f>
        <v>520000</v>
      </c>
      <c r="C21" s="50"/>
      <c r="D21" s="50"/>
      <c r="E21" s="50"/>
      <c r="F21" s="51"/>
      <c r="H21" s="57"/>
      <c r="I21" s="52" t="s">
        <v>90</v>
      </c>
      <c r="J21" s="25" t="s">
        <v>91</v>
      </c>
      <c r="M21" s="53"/>
      <c r="N21" s="53"/>
      <c r="O21" s="149"/>
      <c r="P21" s="149"/>
      <c r="Q21" s="149"/>
      <c r="R21" s="149"/>
      <c r="S21" s="149"/>
      <c r="T21" s="56"/>
      <c r="U21" s="56"/>
      <c r="V21" s="56"/>
      <c r="W21" s="56"/>
      <c r="X21" s="56"/>
      <c r="Y21" s="56"/>
    </row>
    <row r="22" spans="1:34" ht="21" customHeight="1" x14ac:dyDescent="0.2">
      <c r="A22" s="150"/>
      <c r="B22" s="152"/>
      <c r="C22" s="50"/>
      <c r="D22" s="50"/>
      <c r="E22" s="50"/>
      <c r="F22" s="56"/>
      <c r="H22" s="57"/>
      <c r="I22" s="52" t="s">
        <v>92</v>
      </c>
      <c r="J22" s="25" t="s">
        <v>93</v>
      </c>
      <c r="M22" s="153" t="s">
        <v>94</v>
      </c>
      <c r="N22" s="153"/>
      <c r="O22" s="58">
        <f t="shared" ref="O22:S25" si="1">B12</f>
        <v>184000</v>
      </c>
      <c r="P22" s="58">
        <f t="shared" si="1"/>
        <v>115000</v>
      </c>
      <c r="Q22" s="58">
        <f t="shared" si="1"/>
        <v>115000</v>
      </c>
      <c r="R22" s="58">
        <f t="shared" si="1"/>
        <v>23000</v>
      </c>
      <c r="S22" s="58">
        <f t="shared" si="1"/>
        <v>23000</v>
      </c>
      <c r="T22" s="56"/>
      <c r="U22" s="56"/>
      <c r="V22" s="56"/>
      <c r="W22" s="56"/>
      <c r="X22" s="56"/>
      <c r="Y22" s="56"/>
    </row>
    <row r="23" spans="1:34" s="59" customFormat="1" ht="21" customHeight="1" x14ac:dyDescent="0.2">
      <c r="G23" s="8"/>
      <c r="H23" s="57"/>
      <c r="I23" s="52"/>
      <c r="J23" s="25"/>
      <c r="K23" s="56"/>
      <c r="L23" s="56"/>
      <c r="M23" s="153" t="s">
        <v>95</v>
      </c>
      <c r="N23" s="153"/>
      <c r="O23" s="58">
        <f t="shared" si="1"/>
        <v>46000</v>
      </c>
      <c r="P23" s="58">
        <f t="shared" si="1"/>
        <v>28750</v>
      </c>
      <c r="Q23" s="58">
        <f t="shared" si="1"/>
        <v>28750</v>
      </c>
      <c r="R23" s="58">
        <f t="shared" si="1"/>
        <v>0</v>
      </c>
      <c r="S23" s="58">
        <f t="shared" si="1"/>
        <v>0</v>
      </c>
      <c r="T23" s="56"/>
      <c r="U23" s="56"/>
      <c r="V23" s="56"/>
      <c r="W23" s="56"/>
      <c r="X23" s="56"/>
      <c r="Y23" s="56"/>
      <c r="Z23" s="56"/>
      <c r="AA23" s="56"/>
      <c r="AE23" s="56"/>
      <c r="AF23" s="56"/>
      <c r="AG23" s="56"/>
      <c r="AH23" s="56"/>
    </row>
    <row r="24" spans="1:34" s="59" customFormat="1" ht="21" customHeight="1" x14ac:dyDescent="0.2">
      <c r="G24" s="56"/>
      <c r="H24" s="57"/>
      <c r="I24" s="57"/>
      <c r="J24" s="56"/>
      <c r="K24" s="56"/>
      <c r="L24" s="56"/>
      <c r="M24" s="153" t="s">
        <v>96</v>
      </c>
      <c r="N24" s="153"/>
      <c r="O24" s="58">
        <f t="shared" si="1"/>
        <v>138000</v>
      </c>
      <c r="P24" s="58">
        <f t="shared" si="1"/>
        <v>86250</v>
      </c>
      <c r="Q24" s="58">
        <f t="shared" si="1"/>
        <v>86250</v>
      </c>
      <c r="R24" s="58">
        <f t="shared" si="1"/>
        <v>0</v>
      </c>
      <c r="S24" s="58">
        <f t="shared" si="1"/>
        <v>0</v>
      </c>
      <c r="T24" s="56"/>
      <c r="U24" s="56"/>
      <c r="V24" s="56"/>
      <c r="W24" s="56"/>
      <c r="X24" s="56"/>
      <c r="Y24" s="56"/>
      <c r="Z24" s="56"/>
      <c r="AA24" s="56"/>
      <c r="AE24" s="56"/>
      <c r="AF24" s="56"/>
      <c r="AG24" s="56"/>
      <c r="AH24" s="56"/>
    </row>
    <row r="25" spans="1:34" s="59" customFormat="1" ht="21" customHeight="1" x14ac:dyDescent="0.2">
      <c r="G25" s="56"/>
      <c r="H25" s="57"/>
      <c r="I25" s="57"/>
      <c r="J25" s="56"/>
      <c r="K25" s="56"/>
      <c r="L25" s="56"/>
      <c r="M25" s="153" t="s">
        <v>77</v>
      </c>
      <c r="N25" s="153"/>
      <c r="O25" s="58">
        <f t="shared" si="1"/>
        <v>0</v>
      </c>
      <c r="P25" s="58">
        <f t="shared" si="1"/>
        <v>0</v>
      </c>
      <c r="Q25" s="58">
        <f t="shared" si="1"/>
        <v>0</v>
      </c>
      <c r="R25" s="58">
        <f t="shared" si="1"/>
        <v>0</v>
      </c>
      <c r="S25" s="58">
        <f t="shared" si="1"/>
        <v>0</v>
      </c>
      <c r="T25" s="56"/>
      <c r="U25" s="56"/>
      <c r="V25" s="56"/>
      <c r="W25" s="56"/>
      <c r="X25" s="56"/>
      <c r="Y25" s="56"/>
      <c r="Z25" s="56"/>
      <c r="AA25" s="56"/>
      <c r="AE25" s="56"/>
      <c r="AF25" s="56"/>
      <c r="AG25" s="56"/>
      <c r="AH25" s="56"/>
    </row>
    <row r="26" spans="1:34" ht="21" customHeight="1" x14ac:dyDescent="0.2">
      <c r="F26" s="56"/>
      <c r="G26" s="56"/>
      <c r="M26" s="153" t="s">
        <v>97</v>
      </c>
      <c r="N26" s="153"/>
      <c r="O26" s="58">
        <f>B17</f>
        <v>138000</v>
      </c>
      <c r="P26" s="58">
        <f>C17</f>
        <v>86250</v>
      </c>
      <c r="Q26" s="58">
        <f>D17</f>
        <v>86250</v>
      </c>
      <c r="R26" s="58">
        <f>E17</f>
        <v>0</v>
      </c>
      <c r="S26" s="58">
        <f>F17</f>
        <v>0</v>
      </c>
      <c r="T26" s="56"/>
      <c r="U26" s="56"/>
      <c r="V26" s="56"/>
      <c r="W26" s="56"/>
      <c r="X26" s="56"/>
      <c r="Y26" s="56"/>
    </row>
    <row r="27" spans="1:34" ht="21" customHeight="1" x14ac:dyDescent="0.2">
      <c r="M27" s="153" t="s">
        <v>34</v>
      </c>
      <c r="N27" s="153"/>
      <c r="O27" s="60">
        <f>B17+B16</f>
        <v>158000</v>
      </c>
      <c r="P27" s="60">
        <f>C17+C16</f>
        <v>106250</v>
      </c>
      <c r="Q27" s="60">
        <f>D17+D16</f>
        <v>106250</v>
      </c>
      <c r="R27" s="60">
        <f>E17+E16</f>
        <v>0</v>
      </c>
      <c r="S27" s="60">
        <f>F17+F16</f>
        <v>0</v>
      </c>
      <c r="T27" s="56"/>
      <c r="U27" s="56"/>
      <c r="V27" s="56"/>
      <c r="W27" s="56"/>
      <c r="X27" s="56"/>
      <c r="Y27" s="56"/>
    </row>
    <row r="28" spans="1:34" ht="21" customHeight="1" x14ac:dyDescent="0.2">
      <c r="M28" s="153" t="s">
        <v>0</v>
      </c>
      <c r="N28" s="153"/>
      <c r="O28" s="154" t="str">
        <f>B9</f>
        <v>افين ابراهيم</v>
      </c>
      <c r="P28" s="154" t="str">
        <f>C9</f>
        <v>عبدالعزيز الحسين</v>
      </c>
      <c r="Q28" s="154" t="str">
        <f>D9</f>
        <v>محمد يوسف</v>
      </c>
      <c r="R28" s="154">
        <f>E9</f>
        <v>0</v>
      </c>
      <c r="S28" s="154">
        <f>F9</f>
        <v>0</v>
      </c>
    </row>
    <row r="29" spans="1:34" ht="21" customHeight="1" x14ac:dyDescent="0.2">
      <c r="M29" s="153"/>
      <c r="N29" s="153"/>
      <c r="O29" s="154"/>
      <c r="P29" s="154"/>
      <c r="Q29" s="154"/>
      <c r="R29" s="154"/>
      <c r="S29" s="154"/>
    </row>
    <row r="30" spans="1:34" ht="34.5" customHeight="1" x14ac:dyDescent="0.2">
      <c r="M30" s="153" t="s">
        <v>98</v>
      </c>
      <c r="N30" s="153"/>
      <c r="O30" s="58"/>
      <c r="P30" s="61"/>
      <c r="Q30" s="61"/>
      <c r="R30" s="61"/>
      <c r="S30" s="61"/>
    </row>
    <row r="31" spans="1:34" s="42" customFormat="1" ht="35.25" customHeight="1" x14ac:dyDescent="0.2">
      <c r="G31" s="8"/>
      <c r="H31" s="156" t="s">
        <v>99</v>
      </c>
      <c r="I31" s="156"/>
      <c r="J31" s="156"/>
      <c r="M31" s="153" t="s">
        <v>67</v>
      </c>
      <c r="N31" s="153"/>
      <c r="O31" s="61" t="str">
        <f>B10</f>
        <v>لا يوجد</v>
      </c>
      <c r="P31" s="61" t="str">
        <f>C10</f>
        <v>لا يوجد</v>
      </c>
      <c r="Q31" s="61" t="str">
        <f>D10</f>
        <v>لا يوجد</v>
      </c>
      <c r="R31" s="61">
        <f>E10</f>
        <v>0</v>
      </c>
      <c r="S31" s="61">
        <f>F10</f>
        <v>0</v>
      </c>
    </row>
    <row r="32" spans="1:34" s="42" customFormat="1" ht="24.75" customHeight="1" x14ac:dyDescent="0.2">
      <c r="H32" s="157" t="s">
        <v>43</v>
      </c>
      <c r="I32" s="157"/>
      <c r="J32" s="62">
        <v>100000</v>
      </c>
      <c r="M32" s="153" t="s">
        <v>77</v>
      </c>
      <c r="N32" s="153"/>
      <c r="O32" s="60">
        <f>B15</f>
        <v>0</v>
      </c>
      <c r="P32" s="60">
        <f>C15</f>
        <v>0</v>
      </c>
      <c r="Q32" s="60">
        <f>D15</f>
        <v>0</v>
      </c>
      <c r="R32" s="60">
        <f>E15</f>
        <v>0</v>
      </c>
      <c r="S32" s="60">
        <f>F15</f>
        <v>0</v>
      </c>
    </row>
    <row r="33" spans="7:21" s="42" customFormat="1" ht="36" customHeight="1" x14ac:dyDescent="0.2">
      <c r="H33" s="158" t="s">
        <v>100</v>
      </c>
      <c r="I33" s="158"/>
      <c r="J33" s="62">
        <v>150000</v>
      </c>
      <c r="M33" s="153" t="s">
        <v>101</v>
      </c>
      <c r="N33" s="153"/>
      <c r="O33" s="58"/>
      <c r="P33" s="63"/>
      <c r="Q33" s="61"/>
      <c r="R33" s="61"/>
      <c r="S33" s="61"/>
    </row>
    <row r="34" spans="7:21" s="42" customFormat="1" ht="20.25" customHeight="1" x14ac:dyDescent="0.2">
      <c r="H34" s="159" t="s">
        <v>102</v>
      </c>
      <c r="I34" s="160"/>
      <c r="J34" s="161">
        <v>500</v>
      </c>
      <c r="N34" s="64"/>
      <c r="O34" s="65"/>
    </row>
    <row r="35" spans="7:21" s="42" customFormat="1" ht="20.25" customHeight="1" x14ac:dyDescent="0.2">
      <c r="H35" s="163" t="s">
        <v>103</v>
      </c>
      <c r="I35" s="164"/>
      <c r="J35" s="162"/>
      <c r="N35" s="64"/>
      <c r="O35" s="165" t="s">
        <v>104</v>
      </c>
      <c r="P35" s="165"/>
      <c r="Q35" s="165"/>
      <c r="R35" s="165"/>
      <c r="S35" s="166" t="str">
        <f>D6</f>
        <v>الحسكه</v>
      </c>
      <c r="T35" s="166"/>
      <c r="U35" s="66"/>
    </row>
    <row r="36" spans="7:21" s="42" customFormat="1" ht="20.25" customHeight="1" x14ac:dyDescent="0.2">
      <c r="O36" s="67"/>
      <c r="P36" s="155"/>
      <c r="Q36" s="155"/>
      <c r="R36" s="155"/>
      <c r="S36" s="155"/>
    </row>
    <row r="37" spans="7:21" s="42" customFormat="1" ht="20.25" customHeight="1" x14ac:dyDescent="0.2">
      <c r="Q37" s="66"/>
      <c r="R37" s="66"/>
      <c r="S37" s="56"/>
    </row>
    <row r="38" spans="7:21" s="42" customFormat="1" ht="20.25" customHeight="1" x14ac:dyDescent="0.2"/>
    <row r="39" spans="7:21" s="42" customFormat="1" ht="20.25" customHeight="1" x14ac:dyDescent="0.2"/>
    <row r="40" spans="7:21" s="69" customFormat="1" ht="20.25" customHeight="1" x14ac:dyDescent="0.2">
      <c r="G40" s="56"/>
      <c r="H40" s="68"/>
      <c r="I40" s="68"/>
    </row>
    <row r="41" spans="7:21" s="69" customFormat="1" ht="20.25" customHeight="1" x14ac:dyDescent="0.2"/>
    <row r="42" spans="7:21" s="69" customFormat="1" ht="20.25" customHeight="1" x14ac:dyDescent="0.2"/>
    <row r="43" spans="7:21" s="69" customFormat="1" ht="20.25" customHeight="1" x14ac:dyDescent="0.2"/>
    <row r="44" spans="7:21" s="42" customFormat="1" ht="20.25" customHeight="1" x14ac:dyDescent="0.2"/>
    <row r="45" spans="7:21" s="42" customFormat="1" ht="20.25" customHeight="1" x14ac:dyDescent="0.2"/>
    <row r="46" spans="7:21" s="42" customFormat="1" ht="20.25" customHeight="1" x14ac:dyDescent="0.2"/>
    <row r="47" spans="7:21" s="42" customFormat="1" ht="20.25" customHeight="1" x14ac:dyDescent="0.2"/>
    <row r="48" spans="7:21" s="42" customFormat="1" ht="20.25" customHeight="1" x14ac:dyDescent="0.2"/>
    <row r="49" spans="13:24" s="42" customFormat="1" ht="20.25" customHeight="1" x14ac:dyDescent="0.2"/>
    <row r="50" spans="13:24" ht="14.25" customHeight="1" x14ac:dyDescent="0.2"/>
    <row r="51" spans="13:24" ht="14.25" customHeight="1" x14ac:dyDescent="0.2"/>
    <row r="52" spans="13:24" ht="14.25" customHeight="1" x14ac:dyDescent="0.2"/>
    <row r="53" spans="13:24" ht="23.25" customHeight="1" x14ac:dyDescent="0.2"/>
    <row r="54" spans="13:24" ht="23.25" customHeight="1" x14ac:dyDescent="0.2"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</row>
    <row r="55" spans="13:24" ht="23.25" x14ac:dyDescent="0.2">
      <c r="N55" s="71"/>
      <c r="O55" s="71"/>
      <c r="P55" s="71"/>
      <c r="Q55" s="71"/>
      <c r="R55" s="71"/>
      <c r="S55" s="28"/>
    </row>
    <row r="56" spans="13:24" ht="16.5" x14ac:dyDescent="0.25">
      <c r="N56" s="39"/>
      <c r="O56" s="72"/>
      <c r="P56" s="39"/>
      <c r="Q56" s="39"/>
      <c r="R56" s="41"/>
      <c r="S56" s="42"/>
    </row>
    <row r="57" spans="13:24" ht="16.5" x14ac:dyDescent="0.25">
      <c r="N57" s="22"/>
      <c r="O57" s="168"/>
      <c r="P57" s="168"/>
      <c r="Q57" s="22"/>
      <c r="R57" s="169"/>
      <c r="S57" s="169"/>
    </row>
    <row r="58" spans="13:24" ht="16.5" x14ac:dyDescent="0.2">
      <c r="N58" s="39"/>
      <c r="O58" s="39"/>
      <c r="P58" s="39"/>
      <c r="Q58" s="73"/>
      <c r="R58" s="47"/>
    </row>
    <row r="59" spans="13:24" ht="16.5" x14ac:dyDescent="0.2">
      <c r="N59" s="22"/>
      <c r="O59" s="39"/>
      <c r="P59" s="38"/>
      <c r="Q59" s="22"/>
      <c r="R59" s="39"/>
      <c r="S59" s="39"/>
    </row>
    <row r="60" spans="13:24" ht="16.5" x14ac:dyDescent="0.2">
      <c r="N60" s="39"/>
      <c r="O60" s="39"/>
      <c r="P60" s="39"/>
      <c r="Q60" s="73"/>
      <c r="R60" s="39"/>
      <c r="S60" s="39"/>
    </row>
    <row r="61" spans="13:24" ht="16.5" x14ac:dyDescent="0.2">
      <c r="N61" s="22"/>
      <c r="O61" s="170"/>
      <c r="P61" s="170"/>
      <c r="Q61" s="22"/>
      <c r="R61" s="170"/>
      <c r="S61" s="170"/>
    </row>
    <row r="62" spans="13:24" ht="16.5" x14ac:dyDescent="0.2">
      <c r="N62" s="39"/>
      <c r="O62" s="39"/>
      <c r="P62" s="39"/>
      <c r="Q62" s="39"/>
      <c r="R62" s="39"/>
    </row>
    <row r="63" spans="13:24" ht="16.5" x14ac:dyDescent="0.25">
      <c r="N63" s="45"/>
      <c r="O63" s="42"/>
      <c r="P63" s="57"/>
      <c r="Q63" s="57"/>
      <c r="R63" s="57"/>
      <c r="S63" s="57"/>
    </row>
    <row r="65" spans="1:23" s="75" customFormat="1" ht="15.75" x14ac:dyDescent="0.2">
      <c r="A65" s="74"/>
      <c r="B65" s="74"/>
      <c r="C65" s="74"/>
      <c r="D65" s="74"/>
      <c r="E65" s="74"/>
      <c r="F65" s="74"/>
      <c r="I65" s="74"/>
      <c r="J65" s="74"/>
      <c r="K65" s="74"/>
      <c r="L65" s="74"/>
      <c r="M65" s="74"/>
      <c r="N65" s="53"/>
      <c r="O65" s="76"/>
      <c r="P65" s="76"/>
      <c r="Q65" s="76"/>
      <c r="R65" s="76"/>
      <c r="S65" s="76"/>
      <c r="T65" s="74"/>
      <c r="U65" s="74"/>
      <c r="V65" s="74"/>
      <c r="W65" s="74"/>
    </row>
    <row r="66" spans="1:23" s="75" customFormat="1" ht="18" x14ac:dyDescent="0.2">
      <c r="A66" s="74"/>
      <c r="B66" s="74"/>
      <c r="C66" s="74"/>
      <c r="D66" s="74"/>
      <c r="E66" s="74"/>
      <c r="F66" s="74"/>
      <c r="I66" s="74"/>
      <c r="J66" s="74"/>
      <c r="K66" s="74"/>
      <c r="L66" s="74"/>
      <c r="M66" s="74"/>
      <c r="N66" s="54"/>
      <c r="O66" s="76"/>
      <c r="P66" s="76"/>
      <c r="Q66" s="76"/>
      <c r="R66" s="76"/>
      <c r="S66" s="76"/>
      <c r="T66" s="74"/>
      <c r="U66" s="74"/>
      <c r="V66" s="74"/>
      <c r="W66" s="74"/>
    </row>
    <row r="67" spans="1:23" ht="18" customHeight="1" x14ac:dyDescent="0.2">
      <c r="N67" s="54"/>
      <c r="O67" s="76"/>
      <c r="P67" s="76"/>
      <c r="Q67" s="76"/>
      <c r="R67" s="77"/>
      <c r="S67" s="78"/>
    </row>
    <row r="68" spans="1:23" ht="18" customHeight="1" x14ac:dyDescent="0.2">
      <c r="N68" s="54"/>
      <c r="O68" s="76"/>
      <c r="P68" s="76"/>
      <c r="Q68" s="76"/>
      <c r="R68" s="77"/>
      <c r="S68" s="78"/>
    </row>
    <row r="69" spans="1:23" ht="18" customHeight="1" x14ac:dyDescent="0.2">
      <c r="G69" s="42"/>
      <c r="H69" s="42"/>
      <c r="I69" s="42"/>
      <c r="J69" s="42"/>
      <c r="K69" s="42"/>
      <c r="L69" s="42"/>
      <c r="M69" s="42"/>
      <c r="N69" s="54"/>
      <c r="O69" s="76"/>
      <c r="P69" s="76"/>
      <c r="Q69" s="76"/>
      <c r="R69" s="77"/>
      <c r="S69" s="78"/>
    </row>
    <row r="70" spans="1:23" ht="18" customHeight="1" x14ac:dyDescent="0.2">
      <c r="N70" s="54"/>
      <c r="O70" s="76"/>
      <c r="P70" s="76"/>
      <c r="Q70" s="76"/>
      <c r="R70" s="77"/>
      <c r="S70" s="78"/>
    </row>
    <row r="71" spans="1:23" ht="18" x14ac:dyDescent="0.2">
      <c r="N71" s="54"/>
      <c r="O71" s="61"/>
      <c r="P71" s="61"/>
      <c r="Q71" s="61"/>
      <c r="R71" s="77"/>
      <c r="S71" s="78"/>
    </row>
    <row r="72" spans="1:23" ht="18" customHeight="1" x14ac:dyDescent="0.2">
      <c r="N72" s="64"/>
      <c r="O72" s="65"/>
      <c r="P72" s="42"/>
      <c r="Q72" s="42"/>
      <c r="R72" s="42"/>
      <c r="S72" s="42"/>
    </row>
    <row r="73" spans="1:23" ht="18" customHeight="1" x14ac:dyDescent="0.2">
      <c r="N73" s="64"/>
      <c r="O73" s="65"/>
      <c r="P73" s="42"/>
      <c r="Q73" s="42"/>
      <c r="R73" s="42"/>
      <c r="S73" s="42"/>
    </row>
    <row r="74" spans="1:23" ht="20.25" x14ac:dyDescent="0.2">
      <c r="N74" s="42"/>
      <c r="O74" s="67"/>
      <c r="P74" s="155"/>
      <c r="Q74" s="155"/>
      <c r="R74" s="155"/>
      <c r="S74" s="155"/>
    </row>
    <row r="75" spans="1:23" ht="20.25" x14ac:dyDescent="0.2">
      <c r="G75" s="171"/>
      <c r="H75" s="172"/>
      <c r="I75" s="79"/>
      <c r="J75" s="79"/>
      <c r="K75" s="79"/>
      <c r="L75" s="79"/>
      <c r="M75" s="79"/>
      <c r="N75" s="42"/>
      <c r="O75" s="42"/>
      <c r="P75" s="42"/>
      <c r="Q75" s="66"/>
      <c r="R75" s="66"/>
      <c r="S75" s="56"/>
    </row>
    <row r="76" spans="1:23" ht="18" x14ac:dyDescent="0.2">
      <c r="G76" s="167"/>
      <c r="H76" s="167"/>
      <c r="I76" s="80"/>
      <c r="J76" s="80"/>
      <c r="K76" s="81"/>
      <c r="L76" s="81"/>
      <c r="M76" s="81"/>
    </row>
    <row r="77" spans="1:23" ht="18" x14ac:dyDescent="0.2">
      <c r="G77" s="167"/>
      <c r="H77" s="167"/>
      <c r="I77" s="80"/>
      <c r="J77" s="80"/>
      <c r="K77" s="81"/>
      <c r="L77" s="81"/>
      <c r="M77" s="81"/>
    </row>
    <row r="78" spans="1:23" ht="18" x14ac:dyDescent="0.2">
      <c r="G78" s="167"/>
      <c r="H78" s="167"/>
      <c r="I78" s="80"/>
      <c r="J78" s="80"/>
      <c r="K78" s="81"/>
      <c r="L78" s="81"/>
      <c r="M78" s="81"/>
    </row>
    <row r="79" spans="1:23" ht="18" x14ac:dyDescent="0.2">
      <c r="G79" s="167"/>
      <c r="H79" s="167"/>
      <c r="I79" s="80"/>
      <c r="J79" s="80"/>
      <c r="K79" s="81"/>
      <c r="L79" s="81"/>
      <c r="M79" s="81"/>
    </row>
    <row r="80" spans="1:23" ht="18" x14ac:dyDescent="0.2">
      <c r="G80" s="167"/>
      <c r="H80" s="167"/>
      <c r="I80" s="80"/>
      <c r="J80" s="80"/>
      <c r="K80" s="81"/>
      <c r="L80" s="81"/>
      <c r="M80" s="81"/>
    </row>
    <row r="81" spans="1:13" ht="18" x14ac:dyDescent="0.2">
      <c r="G81" s="167"/>
      <c r="H81" s="167"/>
      <c r="I81" s="80"/>
      <c r="J81" s="80"/>
      <c r="K81" s="81"/>
      <c r="L81" s="81"/>
      <c r="M81" s="81"/>
    </row>
    <row r="82" spans="1:13" ht="18" x14ac:dyDescent="0.2">
      <c r="G82" s="167"/>
      <c r="H82" s="167"/>
      <c r="I82" s="80"/>
      <c r="J82" s="80"/>
      <c r="K82" s="81"/>
      <c r="L82" s="81"/>
      <c r="M82" s="81"/>
    </row>
    <row r="83" spans="1:13" ht="18" x14ac:dyDescent="0.2">
      <c r="G83" s="82"/>
      <c r="H83" s="82"/>
      <c r="I83" s="82"/>
      <c r="J83" s="82"/>
      <c r="K83" s="82"/>
      <c r="L83" s="82"/>
      <c r="M83" s="82"/>
    </row>
    <row r="84" spans="1:13" ht="18" x14ac:dyDescent="0.2">
      <c r="G84" s="171"/>
      <c r="H84" s="171"/>
      <c r="I84" s="173"/>
      <c r="J84" s="81"/>
      <c r="K84" s="81"/>
      <c r="L84" s="81"/>
      <c r="M84" s="81"/>
    </row>
    <row r="85" spans="1:13" ht="18" x14ac:dyDescent="0.2">
      <c r="G85" s="171"/>
      <c r="H85" s="171"/>
      <c r="I85" s="167"/>
      <c r="J85" s="81"/>
      <c r="K85" s="81"/>
      <c r="L85" s="81"/>
      <c r="M85" s="81"/>
    </row>
    <row r="86" spans="1:13" ht="18" x14ac:dyDescent="0.2">
      <c r="G86" s="167"/>
      <c r="H86" s="167"/>
      <c r="I86" s="81"/>
      <c r="J86" s="81"/>
      <c r="K86" s="81"/>
      <c r="L86" s="81"/>
      <c r="M86" s="81"/>
    </row>
    <row r="87" spans="1:13" ht="18" x14ac:dyDescent="0.2">
      <c r="G87" s="171"/>
      <c r="H87" s="171"/>
      <c r="I87" s="173"/>
      <c r="J87" s="81"/>
      <c r="K87" s="81"/>
      <c r="L87" s="81"/>
      <c r="M87" s="81"/>
    </row>
    <row r="88" spans="1:13" ht="18" x14ac:dyDescent="0.2">
      <c r="G88" s="171"/>
      <c r="H88" s="171"/>
      <c r="I88" s="167"/>
      <c r="J88" s="81"/>
      <c r="K88" s="81"/>
      <c r="L88" s="81"/>
      <c r="M88" s="81"/>
    </row>
    <row r="89" spans="1:13" s="59" customFormat="1" x14ac:dyDescent="0.2">
      <c r="A89" s="56"/>
      <c r="B89" s="56"/>
      <c r="C89" s="56"/>
      <c r="D89" s="56"/>
      <c r="E89" s="56"/>
      <c r="F89" s="56"/>
      <c r="G89" s="57"/>
      <c r="H89" s="57"/>
      <c r="I89" s="57"/>
      <c r="J89" s="57"/>
      <c r="K89" s="57"/>
      <c r="L89" s="57"/>
      <c r="M89" s="57"/>
    </row>
    <row r="90" spans="1:13" s="59" customFormat="1" x14ac:dyDescent="0.2">
      <c r="A90" s="56"/>
      <c r="B90" s="56"/>
      <c r="C90" s="56"/>
      <c r="D90" s="56"/>
      <c r="E90" s="56"/>
      <c r="F90" s="56"/>
      <c r="G90" s="57"/>
      <c r="H90" s="57"/>
      <c r="I90" s="57"/>
      <c r="J90" s="57"/>
      <c r="K90" s="57"/>
      <c r="L90" s="57"/>
      <c r="M90" s="57"/>
    </row>
    <row r="91" spans="1:13" x14ac:dyDescent="0.2">
      <c r="G91" s="57"/>
      <c r="H91" s="57"/>
      <c r="I91" s="57"/>
      <c r="J91" s="57"/>
      <c r="K91" s="57"/>
      <c r="L91" s="57"/>
      <c r="M91" s="57"/>
    </row>
    <row r="92" spans="1:13" x14ac:dyDescent="0.2">
      <c r="G92" s="57"/>
      <c r="H92" s="57"/>
      <c r="I92" s="57"/>
      <c r="J92" s="57"/>
      <c r="K92" s="57"/>
      <c r="L92" s="57"/>
      <c r="M92" s="57"/>
    </row>
  </sheetData>
  <sheetProtection password="CC19" sheet="1" objects="1" scenarios="1"/>
  <mergeCells count="91">
    <mergeCell ref="G82:H82"/>
    <mergeCell ref="G84:H85"/>
    <mergeCell ref="I84:I85"/>
    <mergeCell ref="G86:H86"/>
    <mergeCell ref="G87:H88"/>
    <mergeCell ref="I87:I88"/>
    <mergeCell ref="G81:H81"/>
    <mergeCell ref="O57:P57"/>
    <mergeCell ref="R57:S57"/>
    <mergeCell ref="O61:P61"/>
    <mergeCell ref="R61:S61"/>
    <mergeCell ref="P74:S74"/>
    <mergeCell ref="G75:H75"/>
    <mergeCell ref="G76:H76"/>
    <mergeCell ref="G77:H77"/>
    <mergeCell ref="G78:H78"/>
    <mergeCell ref="G79:H79"/>
    <mergeCell ref="G80:H80"/>
    <mergeCell ref="P36:S36"/>
    <mergeCell ref="H31:J31"/>
    <mergeCell ref="M31:N31"/>
    <mergeCell ref="H32:I32"/>
    <mergeCell ref="M32:N32"/>
    <mergeCell ref="H33:I33"/>
    <mergeCell ref="M33:N33"/>
    <mergeCell ref="H34:I34"/>
    <mergeCell ref="J34:J35"/>
    <mergeCell ref="H35:I35"/>
    <mergeCell ref="O35:R35"/>
    <mergeCell ref="S35:T35"/>
    <mergeCell ref="O28:O29"/>
    <mergeCell ref="P28:P29"/>
    <mergeCell ref="Q28:Q29"/>
    <mergeCell ref="R28:R29"/>
    <mergeCell ref="S28:S29"/>
    <mergeCell ref="M30:N30"/>
    <mergeCell ref="M23:N23"/>
    <mergeCell ref="M24:N24"/>
    <mergeCell ref="M25:N25"/>
    <mergeCell ref="M26:N26"/>
    <mergeCell ref="M27:N27"/>
    <mergeCell ref="M28:N29"/>
    <mergeCell ref="U15:V15"/>
    <mergeCell ref="A18:A19"/>
    <mergeCell ref="B18:B19"/>
    <mergeCell ref="R19:R21"/>
    <mergeCell ref="S19:S21"/>
    <mergeCell ref="O20:O21"/>
    <mergeCell ref="P20:P21"/>
    <mergeCell ref="Q20:Q21"/>
    <mergeCell ref="A21:A22"/>
    <mergeCell ref="B21:B22"/>
    <mergeCell ref="M22:N22"/>
    <mergeCell ref="E8:E11"/>
    <mergeCell ref="F8:F11"/>
    <mergeCell ref="I8:J8"/>
    <mergeCell ref="N8:O8"/>
    <mergeCell ref="R8:S8"/>
    <mergeCell ref="M9:S9"/>
    <mergeCell ref="M10:S10"/>
    <mergeCell ref="M6:M7"/>
    <mergeCell ref="I17:J17"/>
    <mergeCell ref="N17:O17"/>
    <mergeCell ref="Q6:Q7"/>
    <mergeCell ref="R6:S7"/>
    <mergeCell ref="N6:O7"/>
    <mergeCell ref="N12:O12"/>
    <mergeCell ref="P12:P13"/>
    <mergeCell ref="Q12:R13"/>
    <mergeCell ref="N13:O13"/>
    <mergeCell ref="A6:A7"/>
    <mergeCell ref="B6:B7"/>
    <mergeCell ref="C6:C7"/>
    <mergeCell ref="D6:D7"/>
    <mergeCell ref="F2:G2"/>
    <mergeCell ref="M2:O3"/>
    <mergeCell ref="Q2:T3"/>
    <mergeCell ref="A3:A4"/>
    <mergeCell ref="B3:B4"/>
    <mergeCell ref="C3:D4"/>
    <mergeCell ref="F3:G3"/>
    <mergeCell ref="I3:J3"/>
    <mergeCell ref="H4:I4"/>
    <mergeCell ref="M4:O5"/>
    <mergeCell ref="Q4:S5"/>
    <mergeCell ref="A1:A2"/>
    <mergeCell ref="B1:B2"/>
    <mergeCell ref="C1:D2"/>
    <mergeCell ref="F1:G1"/>
    <mergeCell ref="H1:H2"/>
    <mergeCell ref="I1:J2"/>
  </mergeCells>
  <dataValidations count="5">
    <dataValidation type="list" allowBlank="1" showInputMessage="1" showErrorMessage="1" sqref="D6:D7">
      <formula1>$I$18:$I$23</formula1>
    </dataValidation>
    <dataValidation type="list" allowBlank="1" showInputMessage="1" showErrorMessage="1" sqref="C10">
      <formula1>INDIRECT($C$8)</formula1>
    </dataValidation>
    <dataValidation type="list" allowBlank="1" showInputMessage="1" showErrorMessage="1" sqref="B10">
      <formula1>INDIRECT($B$8)</formula1>
    </dataValidation>
    <dataValidation type="list" allowBlank="1" showInputMessage="1" showErrorMessage="1" sqref="D10">
      <formula1>INDIRECT($D$8)</formula1>
    </dataValidation>
    <dataValidation type="list" allowBlank="1" showInputMessage="1" showErrorMessage="1" sqref="A3:A4">
      <formula1>"بياني,بياني مستودع"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2]!طباعة2">
                <anchor moveWithCells="1" sizeWithCells="1">
                  <from>
                    <xdr:col>2</xdr:col>
                    <xdr:colOff>161925</xdr:colOff>
                    <xdr:row>18</xdr:row>
                    <xdr:rowOff>28575</xdr:rowOff>
                  </from>
                  <to>
                    <xdr:col>3</xdr:col>
                    <xdr:colOff>323850</xdr:colOff>
                    <xdr:row>20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'[1]اسماء مهندسي المكاتب '!#REF!</xm:f>
          </x14:formula1>
          <xm:sqref>B8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D8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C8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D11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B11 C11</xm:sqref>
        </x14:dataValidation>
        <x14:dataValidation type="list" allowBlank="1" showInputMessage="1" showErrorMessage="1">
          <x14:formula1>
            <xm:f>'اسماء مهندسي المكاتب'!$E$7:$E$17</xm:f>
          </x14:formula1>
          <xm:sqref>B9</xm:sqref>
        </x14:dataValidation>
        <x14:dataValidation type="list" allowBlank="1" showInputMessage="1" showErrorMessage="1">
          <x14:formula1>
            <xm:f>'اسماء مهندسي المكاتب'!$H$7:$H$12</xm:f>
          </x14:formula1>
          <xm:sqref>C9</xm:sqref>
        </x14:dataValidation>
        <x14:dataValidation type="list" allowBlank="1" showInputMessage="1" showErrorMessage="1">
          <x14:formula1>
            <xm:f>'اسماء مهندسي المكاتب'!$J$7:$J$11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92"/>
  <sheetViews>
    <sheetView rightToLeft="1" workbookViewId="0">
      <selection activeCell="B9" sqref="B9"/>
    </sheetView>
  </sheetViews>
  <sheetFormatPr defaultColWidth="8.75" defaultRowHeight="14.25" x14ac:dyDescent="0.2"/>
  <cols>
    <col min="1" max="1" width="24.625" style="8" bestFit="1" customWidth="1"/>
    <col min="2" max="2" width="15.25" style="8" bestFit="1" customWidth="1"/>
    <col min="3" max="3" width="14.75" style="8" bestFit="1" customWidth="1"/>
    <col min="4" max="4" width="14.25" style="8" bestFit="1" customWidth="1"/>
    <col min="5" max="5" width="19.625" style="8" bestFit="1" customWidth="1"/>
    <col min="6" max="6" width="8" style="8" bestFit="1" customWidth="1"/>
    <col min="7" max="7" width="6.875" style="8" bestFit="1" customWidth="1"/>
    <col min="8" max="8" width="7.125" style="8" bestFit="1" customWidth="1"/>
    <col min="9" max="9" width="15.25" style="8" bestFit="1" customWidth="1"/>
    <col min="10" max="10" width="12.25" style="8" bestFit="1" customWidth="1"/>
    <col min="11" max="11" width="11.125" style="8" customWidth="1"/>
    <col min="12" max="12" width="3.75" style="8" customWidth="1"/>
    <col min="13" max="13" width="21.25" style="8" bestFit="1" customWidth="1"/>
    <col min="14" max="14" width="9.375" style="8" bestFit="1" customWidth="1"/>
    <col min="15" max="15" width="12.875" style="8" bestFit="1" customWidth="1"/>
    <col min="16" max="16" width="13" style="8" bestFit="1" customWidth="1"/>
    <col min="17" max="17" width="13.5" style="8" bestFit="1" customWidth="1"/>
    <col min="18" max="18" width="8.75" style="8" bestFit="1" customWidth="1"/>
    <col min="19" max="19" width="8" style="8" bestFit="1" customWidth="1"/>
    <col min="20" max="20" width="3.375" style="8" bestFit="1" customWidth="1"/>
    <col min="21" max="24" width="8.75" style="8"/>
    <col min="25" max="25" width="15.75" style="8" customWidth="1"/>
    <col min="26" max="16384" width="8.75" style="8"/>
  </cols>
  <sheetData>
    <row r="1" spans="1:24" ht="18" customHeight="1" x14ac:dyDescent="0.2">
      <c r="A1" s="176" t="s">
        <v>35</v>
      </c>
      <c r="B1" s="116" t="s">
        <v>36</v>
      </c>
      <c r="C1" s="118"/>
      <c r="D1" s="119"/>
      <c r="E1" s="99" t="s">
        <v>37</v>
      </c>
      <c r="F1" s="174" t="s">
        <v>38</v>
      </c>
      <c r="G1" s="175"/>
      <c r="H1" s="177" t="s">
        <v>39</v>
      </c>
      <c r="I1" s="179">
        <v>25</v>
      </c>
      <c r="J1" s="180"/>
    </row>
    <row r="2" spans="1:24" ht="21" customHeight="1" x14ac:dyDescent="0.2">
      <c r="A2" s="176"/>
      <c r="B2" s="117"/>
      <c r="C2" s="118"/>
      <c r="D2" s="119"/>
      <c r="E2" s="99" t="s">
        <v>40</v>
      </c>
      <c r="F2" s="174" t="s">
        <v>38</v>
      </c>
      <c r="G2" s="175"/>
      <c r="H2" s="178"/>
      <c r="I2" s="181"/>
      <c r="J2" s="182"/>
      <c r="M2" s="105" t="s">
        <v>41</v>
      </c>
      <c r="N2" s="105"/>
      <c r="O2" s="105"/>
      <c r="Q2" s="106" t="s">
        <v>42</v>
      </c>
      <c r="R2" s="106"/>
      <c r="S2" s="106"/>
      <c r="T2" s="106"/>
      <c r="U2" s="9"/>
      <c r="V2" s="9"/>
      <c r="W2" s="9"/>
      <c r="X2" s="9"/>
    </row>
    <row r="3" spans="1:24" ht="18" customHeight="1" x14ac:dyDescent="0.2">
      <c r="A3" s="107" t="s">
        <v>43</v>
      </c>
      <c r="B3" s="108"/>
      <c r="C3" s="109"/>
      <c r="D3" s="110"/>
      <c r="E3" s="99" t="s">
        <v>44</v>
      </c>
      <c r="F3" s="174" t="s">
        <v>45</v>
      </c>
      <c r="G3" s="175"/>
      <c r="H3" s="101" t="s">
        <v>46</v>
      </c>
      <c r="I3" s="174"/>
      <c r="J3" s="175"/>
      <c r="M3" s="105"/>
      <c r="N3" s="105"/>
      <c r="O3" s="105"/>
      <c r="Q3" s="106"/>
      <c r="R3" s="106"/>
      <c r="S3" s="106"/>
      <c r="T3" s="106"/>
      <c r="U3" s="9"/>
      <c r="V3" s="9"/>
      <c r="W3" s="9"/>
      <c r="X3" s="9"/>
    </row>
    <row r="4" spans="1:24" ht="15" customHeight="1" x14ac:dyDescent="0.25">
      <c r="A4" s="107"/>
      <c r="B4" s="108"/>
      <c r="C4" s="109"/>
      <c r="D4" s="110"/>
      <c r="E4" s="100" t="s">
        <v>47</v>
      </c>
      <c r="F4" s="102">
        <v>260</v>
      </c>
      <c r="G4" s="103" t="s">
        <v>48</v>
      </c>
      <c r="H4" s="174" t="s">
        <v>49</v>
      </c>
      <c r="I4" s="175"/>
      <c r="M4" s="113" t="s">
        <v>50</v>
      </c>
      <c r="N4" s="113"/>
      <c r="O4" s="113"/>
      <c r="Q4" s="114" t="s">
        <v>51</v>
      </c>
      <c r="R4" s="114"/>
      <c r="S4" s="114"/>
      <c r="T4" s="15"/>
      <c r="U4" s="15"/>
      <c r="V4" s="15"/>
      <c r="W4" s="15"/>
      <c r="X4" s="15"/>
    </row>
    <row r="5" spans="1:24" ht="12" customHeight="1" x14ac:dyDescent="0.2">
      <c r="A5" s="16"/>
      <c r="B5" s="16"/>
      <c r="C5" s="16"/>
      <c r="D5" s="16"/>
      <c r="E5" s="16"/>
      <c r="F5" s="16"/>
      <c r="M5" s="113"/>
      <c r="N5" s="113"/>
      <c r="O5" s="113"/>
      <c r="Q5" s="114"/>
      <c r="R5" s="114"/>
      <c r="S5" s="114"/>
      <c r="T5" s="15"/>
      <c r="U5" s="15"/>
      <c r="V5" s="15"/>
      <c r="W5" s="15"/>
      <c r="X5" s="15"/>
    </row>
    <row r="6" spans="1:24" ht="15" customHeight="1" x14ac:dyDescent="0.2">
      <c r="A6" s="183" t="s">
        <v>32</v>
      </c>
      <c r="B6" s="184" t="s">
        <v>109</v>
      </c>
      <c r="C6" s="116" t="s">
        <v>52</v>
      </c>
      <c r="D6" s="128" t="s">
        <v>53</v>
      </c>
      <c r="M6" s="129" t="s">
        <v>54</v>
      </c>
      <c r="N6" s="113" t="str">
        <f>D6</f>
        <v>الحسكه</v>
      </c>
      <c r="O6" s="113"/>
      <c r="P6" s="17"/>
      <c r="Q6" s="132" t="str">
        <f>IF(AND(N6="قامشلو"),(J18),IF(AND(N6="ديريك"),(J20),IF(AND(N6="الحسكه"),(J19),IF(AND(N6="عاموده"),(J22)))))</f>
        <v>Hesekê</v>
      </c>
      <c r="R6" s="133" t="s">
        <v>55</v>
      </c>
      <c r="S6" s="133"/>
      <c r="T6" s="9"/>
      <c r="U6" s="9"/>
      <c r="V6" s="9"/>
      <c r="W6" s="9"/>
      <c r="X6" s="9"/>
    </row>
    <row r="7" spans="1:24" ht="15.75" customHeight="1" x14ac:dyDescent="0.2">
      <c r="A7" s="183"/>
      <c r="B7" s="184"/>
      <c r="C7" s="117"/>
      <c r="D7" s="128"/>
      <c r="M7" s="129"/>
      <c r="N7" s="113"/>
      <c r="O7" s="113"/>
      <c r="Q7" s="132"/>
      <c r="R7" s="133"/>
      <c r="S7" s="133"/>
      <c r="T7" s="9"/>
      <c r="U7" s="9"/>
      <c r="V7" s="9"/>
      <c r="W7" s="9"/>
      <c r="X7" s="9"/>
    </row>
    <row r="8" spans="1:24" ht="19.5" customHeight="1" x14ac:dyDescent="0.2">
      <c r="A8" s="18" t="s">
        <v>56</v>
      </c>
      <c r="B8" s="19" t="s">
        <v>57</v>
      </c>
      <c r="C8" s="20" t="s">
        <v>58</v>
      </c>
      <c r="D8" s="21" t="s">
        <v>59</v>
      </c>
      <c r="E8" s="137" t="s">
        <v>52</v>
      </c>
      <c r="F8" s="137" t="s">
        <v>60</v>
      </c>
      <c r="I8" s="140" t="s">
        <v>61</v>
      </c>
      <c r="J8" s="140"/>
      <c r="M8" s="22" t="s">
        <v>62</v>
      </c>
      <c r="N8" s="141">
        <f ca="1">TODAY()</f>
        <v>46211</v>
      </c>
      <c r="O8" s="141"/>
      <c r="Q8" s="23">
        <f ca="1">TODAY()</f>
        <v>46211</v>
      </c>
      <c r="R8" s="114" t="s">
        <v>63</v>
      </c>
      <c r="S8" s="114"/>
      <c r="T8" s="15"/>
      <c r="U8" s="15"/>
      <c r="V8" s="15"/>
      <c r="W8" s="15"/>
      <c r="X8" s="15"/>
    </row>
    <row r="9" spans="1:24" ht="21" customHeight="1" x14ac:dyDescent="0.2">
      <c r="A9" s="24" t="s">
        <v>0</v>
      </c>
      <c r="B9" s="19" t="s">
        <v>64</v>
      </c>
      <c r="C9" s="20" t="s">
        <v>24</v>
      </c>
      <c r="D9" s="21" t="s">
        <v>28</v>
      </c>
      <c r="E9" s="138"/>
      <c r="F9" s="138"/>
      <c r="H9" s="8">
        <v>9</v>
      </c>
      <c r="I9" s="25" t="s">
        <v>65</v>
      </c>
      <c r="J9" s="25">
        <v>0.1</v>
      </c>
      <c r="M9" s="142" t="s">
        <v>66</v>
      </c>
      <c r="N9" s="142"/>
      <c r="O9" s="142"/>
      <c r="P9" s="142"/>
      <c r="Q9" s="142"/>
      <c r="R9" s="142"/>
      <c r="S9" s="142"/>
      <c r="T9" s="26"/>
      <c r="U9" s="26"/>
      <c r="V9" s="27"/>
      <c r="W9" s="27"/>
      <c r="X9" s="27"/>
    </row>
    <row r="10" spans="1:24" ht="21" customHeight="1" x14ac:dyDescent="0.2">
      <c r="A10" s="24" t="s">
        <v>67</v>
      </c>
      <c r="B10" s="19" t="s">
        <v>68</v>
      </c>
      <c r="C10" s="20" t="s">
        <v>68</v>
      </c>
      <c r="D10" s="21" t="s">
        <v>68</v>
      </c>
      <c r="E10" s="138"/>
      <c r="F10" s="138"/>
      <c r="H10" s="8">
        <v>10</v>
      </c>
      <c r="I10" s="25" t="s">
        <v>69</v>
      </c>
      <c r="J10" s="25">
        <v>0.2</v>
      </c>
      <c r="M10" s="143" t="s">
        <v>70</v>
      </c>
      <c r="N10" s="143"/>
      <c r="O10" s="143"/>
      <c r="P10" s="143"/>
      <c r="Q10" s="143"/>
      <c r="R10" s="143"/>
      <c r="S10" s="143"/>
      <c r="T10" s="28"/>
      <c r="U10" s="28"/>
      <c r="V10" s="28"/>
      <c r="W10" s="28"/>
      <c r="X10" s="29"/>
    </row>
    <row r="11" spans="1:24" ht="21" customHeight="1" x14ac:dyDescent="0.2">
      <c r="A11" s="18" t="s">
        <v>71</v>
      </c>
      <c r="B11" s="30" t="s">
        <v>30</v>
      </c>
      <c r="C11" s="30" t="s">
        <v>30</v>
      </c>
      <c r="D11" s="30" t="s">
        <v>30</v>
      </c>
      <c r="E11" s="139"/>
      <c r="F11" s="139"/>
      <c r="H11" s="8">
        <v>11</v>
      </c>
      <c r="I11" s="25"/>
      <c r="J11" s="25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4" ht="22.5" customHeight="1" x14ac:dyDescent="0.2">
      <c r="A12" s="31" t="s">
        <v>73</v>
      </c>
      <c r="B12" s="32">
        <v>368000</v>
      </c>
      <c r="C12" s="32">
        <v>230000</v>
      </c>
      <c r="D12" s="32">
        <v>230000</v>
      </c>
      <c r="E12" s="32">
        <v>46000</v>
      </c>
      <c r="F12" s="32">
        <f>E12</f>
        <v>46000</v>
      </c>
      <c r="G12" s="8">
        <f>SUM(B12:F12)</f>
        <v>920000</v>
      </c>
      <c r="H12" s="8">
        <v>12</v>
      </c>
      <c r="I12" s="25"/>
      <c r="J12" s="25"/>
      <c r="M12" s="33" t="s">
        <v>74</v>
      </c>
      <c r="N12" s="134" t="str">
        <f>F1</f>
        <v>علي الدرب</v>
      </c>
      <c r="O12" s="134"/>
      <c r="P12" s="135" t="s">
        <v>75</v>
      </c>
      <c r="Q12" s="136" t="str">
        <f>H4</f>
        <v>صيدلية او مستودع او مخبر او غيرها</v>
      </c>
      <c r="R12" s="136"/>
      <c r="V12" s="28"/>
      <c r="W12" s="28"/>
    </row>
    <row r="13" spans="1:24" ht="21.75" customHeight="1" x14ac:dyDescent="0.2">
      <c r="A13" s="18" t="s">
        <v>1</v>
      </c>
      <c r="B13" s="34">
        <f>IF(B11="داخل الصندوق بنسبة 25%",368000*25%,368000*10%)</f>
        <v>92000</v>
      </c>
      <c r="C13" s="34">
        <f>IF(C11="داخل الصندوق بنسبة 25%",230000*25%,230000*10%)</f>
        <v>57500</v>
      </c>
      <c r="D13" s="34">
        <f>IF(D11="داخل الصندوق بنسبة 25%",230000*25%,230000*10%)</f>
        <v>57500</v>
      </c>
      <c r="E13" s="35"/>
      <c r="F13" s="35"/>
      <c r="H13" s="8">
        <v>13</v>
      </c>
      <c r="I13" s="25" t="s">
        <v>72</v>
      </c>
      <c r="J13" s="25">
        <v>0.25</v>
      </c>
      <c r="M13" s="36" t="str">
        <f>E2</f>
        <v>صاحب العلاقة(الصيدلي) :</v>
      </c>
      <c r="N13" s="134" t="str">
        <f>F2</f>
        <v>علي الدرب</v>
      </c>
      <c r="O13" s="134"/>
      <c r="P13" s="135"/>
      <c r="Q13" s="136"/>
      <c r="R13" s="136"/>
      <c r="S13" s="37"/>
      <c r="T13" s="37"/>
      <c r="U13" s="36"/>
      <c r="V13" s="28"/>
      <c r="W13" s="38"/>
    </row>
    <row r="14" spans="1:24" ht="18" x14ac:dyDescent="0.25">
      <c r="A14" s="18" t="s">
        <v>2</v>
      </c>
      <c r="B14" s="34">
        <f>B12-B13</f>
        <v>276000</v>
      </c>
      <c r="C14" s="34">
        <f t="shared" ref="C14:D14" si="0">C12-C13</f>
        <v>172500</v>
      </c>
      <c r="D14" s="34">
        <f t="shared" si="0"/>
        <v>172500</v>
      </c>
      <c r="E14" s="35"/>
      <c r="F14" s="35"/>
      <c r="H14" s="8">
        <v>14</v>
      </c>
      <c r="I14" s="25" t="s">
        <v>76</v>
      </c>
      <c r="J14" s="25">
        <v>0.4</v>
      </c>
      <c r="M14" s="39"/>
      <c r="N14" s="40"/>
      <c r="O14" s="40"/>
      <c r="P14" s="39"/>
      <c r="Q14" s="39"/>
      <c r="R14" s="39"/>
      <c r="S14" s="39"/>
      <c r="T14" s="39"/>
      <c r="U14" s="41"/>
      <c r="V14" s="42"/>
    </row>
    <row r="15" spans="1:24" ht="20.25" x14ac:dyDescent="0.25">
      <c r="A15" s="18" t="s">
        <v>77</v>
      </c>
      <c r="B15" s="34">
        <f>IF(AND(B10="لا يوجد"),(0),IF(AND(B11=I9),((B14)*0.1),IF(AND(B11=I10),((B14)*0.1),IF(AND(B11=I11),((B14)*0.1),IF(AND(B11=I12),((B14)*0.1),IF(AND(B11=I13),((B14)*0.1),IF(AND(B11=I14),((B14)*0.1),IF(AND(B11=I15),((B14)*0.1)))))))))</f>
        <v>0</v>
      </c>
      <c r="C15" s="34">
        <f>IF(AND(C10="لا يوجد"),(0),IF(AND(C11=I9),((C14)*0.1),IF(AND(C11=I10),((C14)*0.1),IF(AND(C11=I11),((C14)*0.1),IF(AND(C11=I12),((C14)*0.1),IF(AND(C11=I13),((C14)*0.1),IF(AND(C11=I14),((C14)*0.1),IF(AND(C11=I15),((C14)*0.1)))))))))</f>
        <v>0</v>
      </c>
      <c r="D15" s="34">
        <f>IF(AND(D10="لا يوجد"),(0),IF(AND(D11=I9),((D14)*0.1),IF(AND(D11=I10),((D14)*0.1),IF(AND(D11=I11),((D14)*0.1),IF(AND(D11=I12),((D14)*0.1),IF(AND(D11=I13),((D14)*0.1),IF(AND(D11=I14),((D14)*0.1),IF(AND(D11=I15),((D14)*0.1)))))))))</f>
        <v>0</v>
      </c>
      <c r="E15" s="35"/>
      <c r="F15" s="35"/>
      <c r="H15" s="8">
        <v>15</v>
      </c>
      <c r="I15" s="25"/>
      <c r="J15" s="25"/>
      <c r="M15" s="43" t="s">
        <v>78</v>
      </c>
      <c r="N15" s="44">
        <f>B21</f>
        <v>1040000</v>
      </c>
      <c r="O15" s="6" t="s">
        <v>79</v>
      </c>
      <c r="P15" s="45" t="s">
        <v>47</v>
      </c>
      <c r="Q15" s="40">
        <f>F4</f>
        <v>260</v>
      </c>
      <c r="R15" s="37" t="s">
        <v>80</v>
      </c>
      <c r="S15" s="33" t="str">
        <f>B6</f>
        <v>&gt;60</v>
      </c>
      <c r="T15" s="36" t="s">
        <v>81</v>
      </c>
      <c r="U15" s="114"/>
      <c r="V15" s="114"/>
      <c r="W15" s="38"/>
    </row>
    <row r="16" spans="1:24" ht="18" x14ac:dyDescent="0.2">
      <c r="A16" s="18" t="s">
        <v>3</v>
      </c>
      <c r="B16" s="104">
        <v>40000</v>
      </c>
      <c r="C16" s="104">
        <v>40000</v>
      </c>
      <c r="D16" s="104">
        <v>40000</v>
      </c>
      <c r="E16" s="35"/>
      <c r="F16" s="35"/>
      <c r="M16" s="39"/>
      <c r="N16" s="39"/>
      <c r="O16" s="39"/>
      <c r="P16" s="39"/>
      <c r="Q16" s="47"/>
      <c r="R16" s="47"/>
      <c r="U16" s="39"/>
      <c r="V16" s="42"/>
    </row>
    <row r="17" spans="1:34" ht="27" customHeight="1" x14ac:dyDescent="0.2">
      <c r="A17" s="18" t="s">
        <v>82</v>
      </c>
      <c r="B17" s="34">
        <f>B14-B15</f>
        <v>276000</v>
      </c>
      <c r="C17" s="34">
        <f>C14-C15</f>
        <v>172500</v>
      </c>
      <c r="D17" s="34">
        <f>D14-D15</f>
        <v>172500</v>
      </c>
      <c r="E17" s="35"/>
      <c r="F17" s="35"/>
      <c r="H17" s="15"/>
      <c r="I17" s="130" t="s">
        <v>83</v>
      </c>
      <c r="J17" s="130"/>
      <c r="M17" s="22" t="s">
        <v>44</v>
      </c>
      <c r="N17" s="131" t="str">
        <f>F3</f>
        <v>حسكة أولى</v>
      </c>
      <c r="O17" s="131"/>
      <c r="P17" s="22" t="s">
        <v>39</v>
      </c>
      <c r="Q17" s="48">
        <f>I1</f>
        <v>25</v>
      </c>
      <c r="R17" s="22" t="s">
        <v>46</v>
      </c>
      <c r="S17" s="39">
        <f>I3</f>
        <v>0</v>
      </c>
      <c r="U17" s="48"/>
      <c r="V17" s="48"/>
      <c r="W17" s="37"/>
    </row>
    <row r="18" spans="1:34" ht="20.25" customHeight="1" x14ac:dyDescent="0.2">
      <c r="A18" s="144" t="s">
        <v>33</v>
      </c>
      <c r="B18" s="145">
        <f>SUM(B12:F12)</f>
        <v>920000</v>
      </c>
      <c r="C18" s="50"/>
      <c r="D18" s="50"/>
      <c r="E18" s="50"/>
      <c r="F18" s="51"/>
      <c r="I18" s="52" t="s">
        <v>84</v>
      </c>
      <c r="J18" s="25" t="s">
        <v>85</v>
      </c>
      <c r="M18" s="37"/>
      <c r="N18" s="37"/>
      <c r="O18" s="37"/>
      <c r="P18" s="37"/>
      <c r="Q18" s="37"/>
      <c r="R18" s="37"/>
      <c r="S18" s="37"/>
    </row>
    <row r="19" spans="1:34" ht="15.75" customHeight="1" x14ac:dyDescent="0.2">
      <c r="A19" s="144"/>
      <c r="B19" s="146"/>
      <c r="C19" s="50"/>
      <c r="D19" s="50"/>
      <c r="E19" s="50"/>
      <c r="F19" s="51"/>
      <c r="I19" s="52" t="s">
        <v>53</v>
      </c>
      <c r="J19" s="25" t="s">
        <v>86</v>
      </c>
      <c r="M19" s="53"/>
      <c r="N19" s="53"/>
      <c r="O19" s="54" t="str">
        <f>B8</f>
        <v>معماري_حسكه</v>
      </c>
      <c r="P19" s="54" t="str">
        <f>C8</f>
        <v>كهربا_حسكه</v>
      </c>
      <c r="Q19" s="54" t="str">
        <f>D8</f>
        <v>ميكانيك_حسكه</v>
      </c>
      <c r="R19" s="147" t="str">
        <f>E8</f>
        <v>الغرفة</v>
      </c>
      <c r="S19" s="147" t="str">
        <f>F8</f>
        <v>الاتحاد</v>
      </c>
    </row>
    <row r="20" spans="1:34" ht="26.25" customHeight="1" x14ac:dyDescent="0.2">
      <c r="A20" s="55" t="s">
        <v>87</v>
      </c>
      <c r="B20" s="34">
        <v>120000</v>
      </c>
      <c r="C20" s="50"/>
      <c r="D20" s="50"/>
      <c r="E20" s="50"/>
      <c r="F20" s="51"/>
      <c r="I20" s="52" t="s">
        <v>88</v>
      </c>
      <c r="J20" s="25" t="s">
        <v>89</v>
      </c>
      <c r="M20" s="53"/>
      <c r="N20" s="53"/>
      <c r="O20" s="147" t="str">
        <f>B11</f>
        <v>داخل الصندوق بنسبة 25%</v>
      </c>
      <c r="P20" s="147" t="str">
        <f>C11</f>
        <v>داخل الصندوق بنسبة 25%</v>
      </c>
      <c r="Q20" s="147" t="str">
        <f>D11</f>
        <v>داخل الصندوق بنسبة 25%</v>
      </c>
      <c r="R20" s="148"/>
      <c r="S20" s="148"/>
      <c r="T20" s="56"/>
      <c r="U20" s="56"/>
      <c r="V20" s="56"/>
      <c r="W20" s="56"/>
      <c r="X20" s="56"/>
      <c r="Y20" s="56"/>
    </row>
    <row r="21" spans="1:34" ht="14.25" customHeight="1" x14ac:dyDescent="0.2">
      <c r="A21" s="150" t="s">
        <v>4</v>
      </c>
      <c r="B21" s="151">
        <f>B18+B20</f>
        <v>1040000</v>
      </c>
      <c r="C21" s="50"/>
      <c r="D21" s="50"/>
      <c r="E21" s="50"/>
      <c r="F21" s="51"/>
      <c r="H21" s="57"/>
      <c r="I21" s="52" t="s">
        <v>90</v>
      </c>
      <c r="J21" s="25" t="s">
        <v>91</v>
      </c>
      <c r="M21" s="53"/>
      <c r="N21" s="53"/>
      <c r="O21" s="149"/>
      <c r="P21" s="149"/>
      <c r="Q21" s="149"/>
      <c r="R21" s="149"/>
      <c r="S21" s="149"/>
      <c r="T21" s="56"/>
      <c r="U21" s="56"/>
      <c r="V21" s="56"/>
      <c r="W21" s="56"/>
      <c r="X21" s="56"/>
      <c r="Y21" s="56"/>
    </row>
    <row r="22" spans="1:34" ht="21" customHeight="1" x14ac:dyDescent="0.2">
      <c r="A22" s="150"/>
      <c r="B22" s="152"/>
      <c r="C22" s="50"/>
      <c r="D22" s="50"/>
      <c r="E22" s="50"/>
      <c r="F22" s="56"/>
      <c r="H22" s="57"/>
      <c r="I22" s="52" t="s">
        <v>92</v>
      </c>
      <c r="J22" s="25" t="s">
        <v>93</v>
      </c>
      <c r="M22" s="153" t="s">
        <v>94</v>
      </c>
      <c r="N22" s="153"/>
      <c r="O22" s="58">
        <f t="shared" ref="O22:S25" si="1">B12</f>
        <v>368000</v>
      </c>
      <c r="P22" s="58">
        <f t="shared" si="1"/>
        <v>230000</v>
      </c>
      <c r="Q22" s="58">
        <f t="shared" si="1"/>
        <v>230000</v>
      </c>
      <c r="R22" s="58">
        <f t="shared" si="1"/>
        <v>46000</v>
      </c>
      <c r="S22" s="58">
        <f t="shared" si="1"/>
        <v>46000</v>
      </c>
      <c r="T22" s="56"/>
      <c r="U22" s="56"/>
      <c r="V22" s="56"/>
      <c r="W22" s="56"/>
      <c r="X22" s="56"/>
      <c r="Y22" s="56"/>
    </row>
    <row r="23" spans="1:34" s="59" customFormat="1" ht="21" customHeight="1" x14ac:dyDescent="0.2">
      <c r="G23" s="8"/>
      <c r="H23" s="57"/>
      <c r="I23" s="52"/>
      <c r="J23" s="25"/>
      <c r="K23" s="56"/>
      <c r="L23" s="56"/>
      <c r="M23" s="153" t="s">
        <v>95</v>
      </c>
      <c r="N23" s="153"/>
      <c r="O23" s="58">
        <f t="shared" si="1"/>
        <v>92000</v>
      </c>
      <c r="P23" s="58">
        <f t="shared" si="1"/>
        <v>57500</v>
      </c>
      <c r="Q23" s="58">
        <f t="shared" si="1"/>
        <v>57500</v>
      </c>
      <c r="R23" s="58">
        <f t="shared" si="1"/>
        <v>0</v>
      </c>
      <c r="S23" s="58">
        <f t="shared" si="1"/>
        <v>0</v>
      </c>
      <c r="T23" s="56"/>
      <c r="U23" s="56"/>
      <c r="V23" s="56"/>
      <c r="W23" s="56"/>
      <c r="X23" s="56"/>
      <c r="Y23" s="56"/>
      <c r="Z23" s="56"/>
      <c r="AA23" s="56"/>
      <c r="AE23" s="56"/>
      <c r="AF23" s="56"/>
      <c r="AG23" s="56"/>
      <c r="AH23" s="56"/>
    </row>
    <row r="24" spans="1:34" s="59" customFormat="1" ht="21" customHeight="1" x14ac:dyDescent="0.2">
      <c r="G24" s="56"/>
      <c r="H24" s="57"/>
      <c r="I24" s="57"/>
      <c r="J24" s="56"/>
      <c r="K24" s="56"/>
      <c r="L24" s="56"/>
      <c r="M24" s="153" t="s">
        <v>96</v>
      </c>
      <c r="N24" s="153"/>
      <c r="O24" s="58">
        <f t="shared" si="1"/>
        <v>276000</v>
      </c>
      <c r="P24" s="58">
        <f t="shared" si="1"/>
        <v>172500</v>
      </c>
      <c r="Q24" s="58">
        <f t="shared" si="1"/>
        <v>172500</v>
      </c>
      <c r="R24" s="58">
        <f t="shared" si="1"/>
        <v>0</v>
      </c>
      <c r="S24" s="58">
        <f t="shared" si="1"/>
        <v>0</v>
      </c>
      <c r="T24" s="56"/>
      <c r="U24" s="56"/>
      <c r="V24" s="56"/>
      <c r="W24" s="56"/>
      <c r="X24" s="56"/>
      <c r="Y24" s="56"/>
      <c r="Z24" s="56"/>
      <c r="AA24" s="56"/>
      <c r="AE24" s="56"/>
      <c r="AF24" s="56"/>
      <c r="AG24" s="56"/>
      <c r="AH24" s="56"/>
    </row>
    <row r="25" spans="1:34" s="59" customFormat="1" ht="21" customHeight="1" x14ac:dyDescent="0.2">
      <c r="G25" s="56"/>
      <c r="H25" s="57"/>
      <c r="I25" s="57"/>
      <c r="J25" s="56"/>
      <c r="K25" s="56"/>
      <c r="L25" s="56"/>
      <c r="M25" s="153" t="s">
        <v>77</v>
      </c>
      <c r="N25" s="153"/>
      <c r="O25" s="58">
        <f t="shared" si="1"/>
        <v>0</v>
      </c>
      <c r="P25" s="58">
        <f t="shared" si="1"/>
        <v>0</v>
      </c>
      <c r="Q25" s="58">
        <f t="shared" si="1"/>
        <v>0</v>
      </c>
      <c r="R25" s="58">
        <f t="shared" si="1"/>
        <v>0</v>
      </c>
      <c r="S25" s="58">
        <f t="shared" si="1"/>
        <v>0</v>
      </c>
      <c r="T25" s="56"/>
      <c r="U25" s="56"/>
      <c r="V25" s="56"/>
      <c r="W25" s="56"/>
      <c r="X25" s="56"/>
      <c r="Y25" s="56"/>
      <c r="Z25" s="56"/>
      <c r="AA25" s="56"/>
      <c r="AE25" s="56"/>
      <c r="AF25" s="56"/>
      <c r="AG25" s="56"/>
      <c r="AH25" s="56"/>
    </row>
    <row r="26" spans="1:34" ht="21" customHeight="1" x14ac:dyDescent="0.2">
      <c r="F26" s="56"/>
      <c r="G26" s="56"/>
      <c r="M26" s="153" t="s">
        <v>97</v>
      </c>
      <c r="N26" s="153"/>
      <c r="O26" s="58">
        <f>B17</f>
        <v>276000</v>
      </c>
      <c r="P26" s="58">
        <f>C17</f>
        <v>172500</v>
      </c>
      <c r="Q26" s="58">
        <f>D17</f>
        <v>172500</v>
      </c>
      <c r="R26" s="58">
        <f>E17</f>
        <v>0</v>
      </c>
      <c r="S26" s="58">
        <f>F17</f>
        <v>0</v>
      </c>
      <c r="T26" s="56"/>
      <c r="U26" s="56"/>
      <c r="V26" s="56"/>
      <c r="W26" s="56"/>
      <c r="X26" s="56"/>
      <c r="Y26" s="56"/>
    </row>
    <row r="27" spans="1:34" ht="21" customHeight="1" x14ac:dyDescent="0.2">
      <c r="M27" s="153" t="s">
        <v>34</v>
      </c>
      <c r="N27" s="153"/>
      <c r="O27" s="60">
        <f>B17+B16</f>
        <v>316000</v>
      </c>
      <c r="P27" s="60">
        <f>C17+C16</f>
        <v>212500</v>
      </c>
      <c r="Q27" s="60">
        <f>D17+D16</f>
        <v>212500</v>
      </c>
      <c r="R27" s="60">
        <f>E17+E16</f>
        <v>0</v>
      </c>
      <c r="S27" s="60">
        <f>F17+F16</f>
        <v>0</v>
      </c>
      <c r="T27" s="56"/>
      <c r="U27" s="56"/>
      <c r="V27" s="56"/>
      <c r="W27" s="56"/>
      <c r="X27" s="56"/>
      <c r="Y27" s="56"/>
    </row>
    <row r="28" spans="1:34" ht="21" customHeight="1" x14ac:dyDescent="0.2">
      <c r="M28" s="153" t="s">
        <v>0</v>
      </c>
      <c r="N28" s="153"/>
      <c r="O28" s="154" t="str">
        <f>B9</f>
        <v>افين ابراهيم</v>
      </c>
      <c r="P28" s="154" t="str">
        <f>C9</f>
        <v>عبدالعزيز الحسين</v>
      </c>
      <c r="Q28" s="154" t="str">
        <f>D9</f>
        <v>محمد يوسف</v>
      </c>
      <c r="R28" s="154">
        <f>E9</f>
        <v>0</v>
      </c>
      <c r="S28" s="154">
        <f>F9</f>
        <v>0</v>
      </c>
    </row>
    <row r="29" spans="1:34" ht="21" customHeight="1" x14ac:dyDescent="0.2">
      <c r="M29" s="153"/>
      <c r="N29" s="153"/>
      <c r="O29" s="154"/>
      <c r="P29" s="154"/>
      <c r="Q29" s="154"/>
      <c r="R29" s="154"/>
      <c r="S29" s="154"/>
    </row>
    <row r="30" spans="1:34" ht="34.5" customHeight="1" x14ac:dyDescent="0.2">
      <c r="M30" s="153" t="s">
        <v>98</v>
      </c>
      <c r="N30" s="153"/>
      <c r="O30" s="58"/>
      <c r="P30" s="61"/>
      <c r="Q30" s="61"/>
      <c r="R30" s="61"/>
      <c r="S30" s="61"/>
    </row>
    <row r="31" spans="1:34" s="42" customFormat="1" ht="35.25" customHeight="1" x14ac:dyDescent="0.2">
      <c r="G31" s="8"/>
      <c r="H31" s="156" t="s">
        <v>99</v>
      </c>
      <c r="I31" s="156"/>
      <c r="J31" s="156"/>
      <c r="M31" s="153" t="s">
        <v>67</v>
      </c>
      <c r="N31" s="153"/>
      <c r="O31" s="61" t="str">
        <f>B10</f>
        <v>لا يوجد</v>
      </c>
      <c r="P31" s="61" t="str">
        <f>C10</f>
        <v>لا يوجد</v>
      </c>
      <c r="Q31" s="61" t="str">
        <f>D10</f>
        <v>لا يوجد</v>
      </c>
      <c r="R31" s="61">
        <f>E10</f>
        <v>0</v>
      </c>
      <c r="S31" s="61">
        <f>F10</f>
        <v>0</v>
      </c>
    </row>
    <row r="32" spans="1:34" s="42" customFormat="1" ht="24.75" customHeight="1" x14ac:dyDescent="0.2">
      <c r="H32" s="157" t="s">
        <v>43</v>
      </c>
      <c r="I32" s="157"/>
      <c r="J32" s="62">
        <v>100000</v>
      </c>
      <c r="M32" s="153" t="s">
        <v>77</v>
      </c>
      <c r="N32" s="153"/>
      <c r="O32" s="60">
        <f>B15</f>
        <v>0</v>
      </c>
      <c r="P32" s="60">
        <f>C15</f>
        <v>0</v>
      </c>
      <c r="Q32" s="60">
        <f>D15</f>
        <v>0</v>
      </c>
      <c r="R32" s="60">
        <f>E15</f>
        <v>0</v>
      </c>
      <c r="S32" s="60">
        <f>F15</f>
        <v>0</v>
      </c>
    </row>
    <row r="33" spans="7:21" s="42" customFormat="1" ht="36" customHeight="1" x14ac:dyDescent="0.2">
      <c r="H33" s="158" t="s">
        <v>100</v>
      </c>
      <c r="I33" s="158"/>
      <c r="J33" s="62">
        <v>150000</v>
      </c>
      <c r="M33" s="153" t="s">
        <v>101</v>
      </c>
      <c r="N33" s="153"/>
      <c r="O33" s="58"/>
      <c r="P33" s="63"/>
      <c r="Q33" s="61"/>
      <c r="R33" s="61"/>
      <c r="S33" s="61"/>
    </row>
    <row r="34" spans="7:21" s="42" customFormat="1" ht="20.25" customHeight="1" x14ac:dyDescent="0.2">
      <c r="H34" s="159" t="s">
        <v>102</v>
      </c>
      <c r="I34" s="160"/>
      <c r="J34" s="161">
        <v>500</v>
      </c>
      <c r="N34" s="64"/>
      <c r="O34" s="65"/>
    </row>
    <row r="35" spans="7:21" s="42" customFormat="1" ht="20.25" customHeight="1" x14ac:dyDescent="0.2">
      <c r="H35" s="163" t="s">
        <v>103</v>
      </c>
      <c r="I35" s="164"/>
      <c r="J35" s="162"/>
      <c r="N35" s="64"/>
      <c r="O35" s="165" t="s">
        <v>104</v>
      </c>
      <c r="P35" s="165"/>
      <c r="Q35" s="165"/>
      <c r="R35" s="165"/>
      <c r="S35" s="166" t="str">
        <f>D6</f>
        <v>الحسكه</v>
      </c>
      <c r="T35" s="166"/>
      <c r="U35" s="66"/>
    </row>
    <row r="36" spans="7:21" s="42" customFormat="1" ht="20.25" customHeight="1" x14ac:dyDescent="0.2">
      <c r="O36" s="67"/>
      <c r="P36" s="155"/>
      <c r="Q36" s="155"/>
      <c r="R36" s="155"/>
      <c r="S36" s="155"/>
    </row>
    <row r="37" spans="7:21" s="42" customFormat="1" ht="20.25" customHeight="1" x14ac:dyDescent="0.2">
      <c r="Q37" s="66"/>
      <c r="R37" s="66"/>
      <c r="S37" s="56"/>
    </row>
    <row r="38" spans="7:21" s="42" customFormat="1" ht="20.25" customHeight="1" x14ac:dyDescent="0.2"/>
    <row r="39" spans="7:21" s="42" customFormat="1" ht="20.25" customHeight="1" x14ac:dyDescent="0.2"/>
    <row r="40" spans="7:21" s="69" customFormat="1" ht="20.25" customHeight="1" x14ac:dyDescent="0.2">
      <c r="G40" s="56"/>
      <c r="H40" s="68"/>
      <c r="I40" s="68"/>
    </row>
    <row r="41" spans="7:21" s="69" customFormat="1" ht="20.25" customHeight="1" x14ac:dyDescent="0.2"/>
    <row r="42" spans="7:21" s="69" customFormat="1" ht="20.25" customHeight="1" x14ac:dyDescent="0.2"/>
    <row r="43" spans="7:21" s="69" customFormat="1" ht="20.25" customHeight="1" x14ac:dyDescent="0.2"/>
    <row r="44" spans="7:21" s="42" customFormat="1" ht="20.25" customHeight="1" x14ac:dyDescent="0.2"/>
    <row r="45" spans="7:21" s="42" customFormat="1" ht="20.25" customHeight="1" x14ac:dyDescent="0.2"/>
    <row r="46" spans="7:21" s="42" customFormat="1" ht="20.25" customHeight="1" x14ac:dyDescent="0.2"/>
    <row r="47" spans="7:21" s="42" customFormat="1" ht="20.25" customHeight="1" x14ac:dyDescent="0.2"/>
    <row r="48" spans="7:21" s="42" customFormat="1" ht="20.25" customHeight="1" x14ac:dyDescent="0.2"/>
    <row r="49" spans="13:24" s="42" customFormat="1" ht="20.25" customHeight="1" x14ac:dyDescent="0.2"/>
    <row r="50" spans="13:24" ht="14.25" customHeight="1" x14ac:dyDescent="0.2"/>
    <row r="51" spans="13:24" ht="14.25" customHeight="1" x14ac:dyDescent="0.2"/>
    <row r="52" spans="13:24" ht="14.25" customHeight="1" x14ac:dyDescent="0.2"/>
    <row r="53" spans="13:24" ht="23.25" customHeight="1" x14ac:dyDescent="0.2"/>
    <row r="54" spans="13:24" ht="23.25" customHeight="1" x14ac:dyDescent="0.2"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</row>
    <row r="55" spans="13:24" ht="23.25" x14ac:dyDescent="0.2">
      <c r="N55" s="71"/>
      <c r="O55" s="71"/>
      <c r="P55" s="71"/>
      <c r="Q55" s="71"/>
      <c r="R55" s="71"/>
      <c r="S55" s="28"/>
    </row>
    <row r="56" spans="13:24" ht="16.5" x14ac:dyDescent="0.25">
      <c r="N56" s="39"/>
      <c r="O56" s="72"/>
      <c r="P56" s="39"/>
      <c r="Q56" s="39"/>
      <c r="R56" s="41"/>
      <c r="S56" s="42"/>
    </row>
    <row r="57" spans="13:24" ht="16.5" x14ac:dyDescent="0.25">
      <c r="N57" s="22"/>
      <c r="O57" s="168"/>
      <c r="P57" s="168"/>
      <c r="Q57" s="22"/>
      <c r="R57" s="169"/>
      <c r="S57" s="169"/>
    </row>
    <row r="58" spans="13:24" ht="16.5" x14ac:dyDescent="0.2">
      <c r="N58" s="39"/>
      <c r="O58" s="39"/>
      <c r="P58" s="39"/>
      <c r="Q58" s="73"/>
      <c r="R58" s="47"/>
    </row>
    <row r="59" spans="13:24" ht="16.5" x14ac:dyDescent="0.2">
      <c r="N59" s="22"/>
      <c r="O59" s="39"/>
      <c r="P59" s="38"/>
      <c r="Q59" s="22"/>
      <c r="R59" s="39"/>
      <c r="S59" s="39"/>
    </row>
    <row r="60" spans="13:24" ht="16.5" x14ac:dyDescent="0.2">
      <c r="N60" s="39"/>
      <c r="O60" s="39"/>
      <c r="P60" s="39"/>
      <c r="Q60" s="73"/>
      <c r="R60" s="39"/>
      <c r="S60" s="39"/>
    </row>
    <row r="61" spans="13:24" ht="16.5" x14ac:dyDescent="0.2">
      <c r="N61" s="22"/>
      <c r="O61" s="170"/>
      <c r="P61" s="170"/>
      <c r="Q61" s="22"/>
      <c r="R61" s="170"/>
      <c r="S61" s="170"/>
    </row>
    <row r="62" spans="13:24" ht="16.5" x14ac:dyDescent="0.2">
      <c r="N62" s="39"/>
      <c r="O62" s="39"/>
      <c r="P62" s="39"/>
      <c r="Q62" s="39"/>
      <c r="R62" s="39"/>
    </row>
    <row r="63" spans="13:24" ht="16.5" x14ac:dyDescent="0.25">
      <c r="N63" s="45"/>
      <c r="O63" s="42"/>
      <c r="P63" s="57"/>
      <c r="Q63" s="57"/>
      <c r="R63" s="57"/>
      <c r="S63" s="57"/>
    </row>
    <row r="65" spans="1:23" s="75" customFormat="1" ht="15.75" x14ac:dyDescent="0.2">
      <c r="A65" s="74"/>
      <c r="B65" s="74"/>
      <c r="C65" s="74"/>
      <c r="D65" s="74"/>
      <c r="E65" s="74"/>
      <c r="F65" s="74"/>
      <c r="I65" s="74"/>
      <c r="J65" s="74"/>
      <c r="K65" s="74"/>
      <c r="L65" s="74"/>
      <c r="M65" s="74"/>
      <c r="N65" s="53"/>
      <c r="O65" s="76"/>
      <c r="P65" s="76"/>
      <c r="Q65" s="76"/>
      <c r="R65" s="76"/>
      <c r="S65" s="76"/>
      <c r="T65" s="74"/>
      <c r="U65" s="74"/>
      <c r="V65" s="74"/>
      <c r="W65" s="74"/>
    </row>
    <row r="66" spans="1:23" s="75" customFormat="1" ht="18" x14ac:dyDescent="0.2">
      <c r="A66" s="74"/>
      <c r="B66" s="74"/>
      <c r="C66" s="74"/>
      <c r="D66" s="74"/>
      <c r="E66" s="74"/>
      <c r="F66" s="74"/>
      <c r="I66" s="74"/>
      <c r="J66" s="74"/>
      <c r="K66" s="74"/>
      <c r="L66" s="74"/>
      <c r="M66" s="74"/>
      <c r="N66" s="54"/>
      <c r="O66" s="76"/>
      <c r="P66" s="76"/>
      <c r="Q66" s="76"/>
      <c r="R66" s="76"/>
      <c r="S66" s="76"/>
      <c r="T66" s="74"/>
      <c r="U66" s="74"/>
      <c r="V66" s="74"/>
      <c r="W66" s="74"/>
    </row>
    <row r="67" spans="1:23" ht="18" customHeight="1" x14ac:dyDescent="0.2">
      <c r="N67" s="54"/>
      <c r="O67" s="76"/>
      <c r="P67" s="76"/>
      <c r="Q67" s="76"/>
      <c r="R67" s="77"/>
      <c r="S67" s="78"/>
    </row>
    <row r="68" spans="1:23" ht="18" customHeight="1" x14ac:dyDescent="0.2">
      <c r="N68" s="54"/>
      <c r="O68" s="76"/>
      <c r="P68" s="76"/>
      <c r="Q68" s="76"/>
      <c r="R68" s="77"/>
      <c r="S68" s="78"/>
    </row>
    <row r="69" spans="1:23" ht="18" customHeight="1" x14ac:dyDescent="0.2">
      <c r="G69" s="42"/>
      <c r="H69" s="42"/>
      <c r="I69" s="42"/>
      <c r="J69" s="42"/>
      <c r="K69" s="42"/>
      <c r="L69" s="42"/>
      <c r="M69" s="42"/>
      <c r="N69" s="54"/>
      <c r="O69" s="76"/>
      <c r="P69" s="76"/>
      <c r="Q69" s="76"/>
      <c r="R69" s="77"/>
      <c r="S69" s="78"/>
    </row>
    <row r="70" spans="1:23" ht="18" customHeight="1" x14ac:dyDescent="0.2">
      <c r="N70" s="54"/>
      <c r="O70" s="76"/>
      <c r="P70" s="76"/>
      <c r="Q70" s="76"/>
      <c r="R70" s="77"/>
      <c r="S70" s="78"/>
    </row>
    <row r="71" spans="1:23" ht="18" x14ac:dyDescent="0.2">
      <c r="N71" s="54"/>
      <c r="O71" s="61"/>
      <c r="P71" s="61"/>
      <c r="Q71" s="61"/>
      <c r="R71" s="77"/>
      <c r="S71" s="78"/>
    </row>
    <row r="72" spans="1:23" ht="18" customHeight="1" x14ac:dyDescent="0.2">
      <c r="N72" s="64"/>
      <c r="O72" s="65"/>
      <c r="P72" s="42"/>
      <c r="Q72" s="42"/>
      <c r="R72" s="42"/>
      <c r="S72" s="42"/>
    </row>
    <row r="73" spans="1:23" ht="18" customHeight="1" x14ac:dyDescent="0.2">
      <c r="N73" s="64"/>
      <c r="O73" s="65"/>
      <c r="P73" s="42"/>
      <c r="Q73" s="42"/>
      <c r="R73" s="42"/>
      <c r="S73" s="42"/>
    </row>
    <row r="74" spans="1:23" ht="20.25" x14ac:dyDescent="0.2">
      <c r="N74" s="42"/>
      <c r="O74" s="67"/>
      <c r="P74" s="155"/>
      <c r="Q74" s="155"/>
      <c r="R74" s="155"/>
      <c r="S74" s="155"/>
    </row>
    <row r="75" spans="1:23" ht="20.25" x14ac:dyDescent="0.2">
      <c r="G75" s="171"/>
      <c r="H75" s="172"/>
      <c r="I75" s="79"/>
      <c r="J75" s="79"/>
      <c r="K75" s="79"/>
      <c r="L75" s="79"/>
      <c r="M75" s="79"/>
      <c r="N75" s="42"/>
      <c r="O75" s="42"/>
      <c r="P75" s="42"/>
      <c r="Q75" s="66"/>
      <c r="R75" s="66"/>
      <c r="S75" s="56"/>
    </row>
    <row r="76" spans="1:23" ht="18" x14ac:dyDescent="0.2">
      <c r="G76" s="167"/>
      <c r="H76" s="167"/>
      <c r="I76" s="80"/>
      <c r="J76" s="80"/>
      <c r="K76" s="81"/>
      <c r="L76" s="81"/>
      <c r="M76" s="81"/>
    </row>
    <row r="77" spans="1:23" ht="18" x14ac:dyDescent="0.2">
      <c r="G77" s="167"/>
      <c r="H77" s="167"/>
      <c r="I77" s="80"/>
      <c r="J77" s="80"/>
      <c r="K77" s="81"/>
      <c r="L77" s="81"/>
      <c r="M77" s="81"/>
    </row>
    <row r="78" spans="1:23" ht="18" x14ac:dyDescent="0.2">
      <c r="G78" s="167"/>
      <c r="H78" s="167"/>
      <c r="I78" s="80"/>
      <c r="J78" s="80"/>
      <c r="K78" s="81"/>
      <c r="L78" s="81"/>
      <c r="M78" s="81"/>
    </row>
    <row r="79" spans="1:23" ht="18" x14ac:dyDescent="0.2">
      <c r="G79" s="167"/>
      <c r="H79" s="167"/>
      <c r="I79" s="80"/>
      <c r="J79" s="80"/>
      <c r="K79" s="81"/>
      <c r="L79" s="81"/>
      <c r="M79" s="81"/>
    </row>
    <row r="80" spans="1:23" ht="18" x14ac:dyDescent="0.2">
      <c r="G80" s="167"/>
      <c r="H80" s="167"/>
      <c r="I80" s="80"/>
      <c r="J80" s="80"/>
      <c r="K80" s="81"/>
      <c r="L80" s="81"/>
      <c r="M80" s="81"/>
    </row>
    <row r="81" spans="1:13" ht="18" x14ac:dyDescent="0.2">
      <c r="G81" s="167"/>
      <c r="H81" s="167"/>
      <c r="I81" s="80"/>
      <c r="J81" s="80"/>
      <c r="K81" s="81"/>
      <c r="L81" s="81"/>
      <c r="M81" s="81"/>
    </row>
    <row r="82" spans="1:13" ht="18" x14ac:dyDescent="0.2">
      <c r="G82" s="167"/>
      <c r="H82" s="167"/>
      <c r="I82" s="80"/>
      <c r="J82" s="80"/>
      <c r="K82" s="81"/>
      <c r="L82" s="81"/>
      <c r="M82" s="81"/>
    </row>
    <row r="83" spans="1:13" ht="18" x14ac:dyDescent="0.2">
      <c r="G83" s="82"/>
      <c r="H83" s="82"/>
      <c r="I83" s="82"/>
      <c r="J83" s="82"/>
      <c r="K83" s="82"/>
      <c r="L83" s="82"/>
      <c r="M83" s="82"/>
    </row>
    <row r="84" spans="1:13" ht="18" x14ac:dyDescent="0.2">
      <c r="G84" s="171"/>
      <c r="H84" s="171"/>
      <c r="I84" s="173"/>
      <c r="J84" s="81"/>
      <c r="K84" s="81"/>
      <c r="L84" s="81"/>
      <c r="M84" s="81"/>
    </row>
    <row r="85" spans="1:13" ht="18" x14ac:dyDescent="0.2">
      <c r="G85" s="171"/>
      <c r="H85" s="171"/>
      <c r="I85" s="167"/>
      <c r="J85" s="81"/>
      <c r="K85" s="81"/>
      <c r="L85" s="81"/>
      <c r="M85" s="81"/>
    </row>
    <row r="86" spans="1:13" ht="18" x14ac:dyDescent="0.2">
      <c r="G86" s="167"/>
      <c r="H86" s="167"/>
      <c r="I86" s="81"/>
      <c r="J86" s="81"/>
      <c r="K86" s="81"/>
      <c r="L86" s="81"/>
      <c r="M86" s="81"/>
    </row>
    <row r="87" spans="1:13" ht="18" x14ac:dyDescent="0.2">
      <c r="G87" s="171"/>
      <c r="H87" s="171"/>
      <c r="I87" s="173"/>
      <c r="J87" s="81"/>
      <c r="K87" s="81"/>
      <c r="L87" s="81"/>
      <c r="M87" s="81"/>
    </row>
    <row r="88" spans="1:13" ht="18" x14ac:dyDescent="0.2">
      <c r="G88" s="171"/>
      <c r="H88" s="171"/>
      <c r="I88" s="167"/>
      <c r="J88" s="81"/>
      <c r="K88" s="81"/>
      <c r="L88" s="81"/>
      <c r="M88" s="81"/>
    </row>
    <row r="89" spans="1:13" s="59" customFormat="1" x14ac:dyDescent="0.2">
      <c r="A89" s="56"/>
      <c r="B89" s="56"/>
      <c r="C89" s="56"/>
      <c r="D89" s="56"/>
      <c r="E89" s="56"/>
      <c r="F89" s="56"/>
      <c r="G89" s="57"/>
      <c r="H89" s="57"/>
      <c r="I89" s="57"/>
      <c r="J89" s="57"/>
      <c r="K89" s="57"/>
      <c r="L89" s="57"/>
      <c r="M89" s="57"/>
    </row>
    <row r="90" spans="1:13" s="59" customFormat="1" x14ac:dyDescent="0.2">
      <c r="A90" s="56"/>
      <c r="B90" s="56"/>
      <c r="C90" s="56"/>
      <c r="D90" s="56"/>
      <c r="E90" s="56"/>
      <c r="F90" s="56"/>
      <c r="G90" s="57"/>
      <c r="H90" s="57"/>
      <c r="I90" s="57"/>
      <c r="J90" s="57"/>
      <c r="K90" s="57"/>
      <c r="L90" s="57"/>
      <c r="M90" s="57"/>
    </row>
    <row r="91" spans="1:13" x14ac:dyDescent="0.2">
      <c r="G91" s="57"/>
      <c r="H91" s="57"/>
      <c r="I91" s="57"/>
      <c r="J91" s="57"/>
      <c r="K91" s="57"/>
      <c r="L91" s="57"/>
      <c r="M91" s="57"/>
    </row>
    <row r="92" spans="1:13" x14ac:dyDescent="0.2">
      <c r="G92" s="57"/>
      <c r="H92" s="57"/>
      <c r="I92" s="57"/>
      <c r="J92" s="57"/>
      <c r="K92" s="57"/>
      <c r="L92" s="57"/>
      <c r="M92" s="57"/>
    </row>
  </sheetData>
  <sheetProtection password="CC19" sheet="1" objects="1" scenarios="1"/>
  <mergeCells count="91">
    <mergeCell ref="G82:H82"/>
    <mergeCell ref="G84:H85"/>
    <mergeCell ref="I84:I85"/>
    <mergeCell ref="G86:H86"/>
    <mergeCell ref="G87:H88"/>
    <mergeCell ref="I87:I88"/>
    <mergeCell ref="G81:H81"/>
    <mergeCell ref="O57:P57"/>
    <mergeCell ref="R57:S57"/>
    <mergeCell ref="O61:P61"/>
    <mergeCell ref="R61:S61"/>
    <mergeCell ref="P74:S74"/>
    <mergeCell ref="G75:H75"/>
    <mergeCell ref="G76:H76"/>
    <mergeCell ref="G77:H77"/>
    <mergeCell ref="G78:H78"/>
    <mergeCell ref="G79:H79"/>
    <mergeCell ref="G80:H80"/>
    <mergeCell ref="P36:S36"/>
    <mergeCell ref="H31:J31"/>
    <mergeCell ref="M31:N31"/>
    <mergeCell ref="H32:I32"/>
    <mergeCell ref="M32:N32"/>
    <mergeCell ref="H33:I33"/>
    <mergeCell ref="M33:N33"/>
    <mergeCell ref="H34:I34"/>
    <mergeCell ref="J34:J35"/>
    <mergeCell ref="H35:I35"/>
    <mergeCell ref="O35:R35"/>
    <mergeCell ref="S35:T35"/>
    <mergeCell ref="O28:O29"/>
    <mergeCell ref="P28:P29"/>
    <mergeCell ref="Q28:Q29"/>
    <mergeCell ref="R28:R29"/>
    <mergeCell ref="S28:S29"/>
    <mergeCell ref="M30:N30"/>
    <mergeCell ref="M23:N23"/>
    <mergeCell ref="M24:N24"/>
    <mergeCell ref="M25:N25"/>
    <mergeCell ref="M26:N26"/>
    <mergeCell ref="M27:N27"/>
    <mergeCell ref="M28:N29"/>
    <mergeCell ref="U15:V15"/>
    <mergeCell ref="A18:A19"/>
    <mergeCell ref="B18:B19"/>
    <mergeCell ref="R19:R21"/>
    <mergeCell ref="S19:S21"/>
    <mergeCell ref="O20:O21"/>
    <mergeCell ref="P20:P21"/>
    <mergeCell ref="Q20:Q21"/>
    <mergeCell ref="A21:A22"/>
    <mergeCell ref="B21:B22"/>
    <mergeCell ref="M22:N22"/>
    <mergeCell ref="E8:E11"/>
    <mergeCell ref="F8:F11"/>
    <mergeCell ref="I8:J8"/>
    <mergeCell ref="N8:O8"/>
    <mergeCell ref="R8:S8"/>
    <mergeCell ref="M9:S9"/>
    <mergeCell ref="M10:S10"/>
    <mergeCell ref="M6:M7"/>
    <mergeCell ref="I17:J17"/>
    <mergeCell ref="N17:O17"/>
    <mergeCell ref="Q6:Q7"/>
    <mergeCell ref="R6:S7"/>
    <mergeCell ref="N6:O7"/>
    <mergeCell ref="N12:O12"/>
    <mergeCell ref="P12:P13"/>
    <mergeCell ref="Q12:R13"/>
    <mergeCell ref="N13:O13"/>
    <mergeCell ref="A6:A7"/>
    <mergeCell ref="B6:B7"/>
    <mergeCell ref="C6:C7"/>
    <mergeCell ref="D6:D7"/>
    <mergeCell ref="F2:G2"/>
    <mergeCell ref="M2:O3"/>
    <mergeCell ref="Q2:T3"/>
    <mergeCell ref="A3:A4"/>
    <mergeCell ref="B3:B4"/>
    <mergeCell ref="C3:D4"/>
    <mergeCell ref="F3:G3"/>
    <mergeCell ref="I3:J3"/>
    <mergeCell ref="H4:I4"/>
    <mergeCell ref="M4:O5"/>
    <mergeCell ref="Q4:S5"/>
    <mergeCell ref="A1:A2"/>
    <mergeCell ref="B1:B2"/>
    <mergeCell ref="C1:D2"/>
    <mergeCell ref="F1:G1"/>
    <mergeCell ref="H1:H2"/>
    <mergeCell ref="I1:J2"/>
  </mergeCells>
  <dataValidations count="5">
    <dataValidation type="list" allowBlank="1" showInputMessage="1" showErrorMessage="1" sqref="A3:A4">
      <formula1>"بياني,بياني مستودع"</formula1>
    </dataValidation>
    <dataValidation type="list" allowBlank="1" showInputMessage="1" showErrorMessage="1" sqref="D10">
      <formula1>INDIRECT($D$8)</formula1>
    </dataValidation>
    <dataValidation type="list" allowBlank="1" showInputMessage="1" showErrorMessage="1" sqref="B10">
      <formula1>INDIRECT($B$8)</formula1>
    </dataValidation>
    <dataValidation type="list" allowBlank="1" showInputMessage="1" showErrorMessage="1" sqref="C10">
      <formula1>INDIRECT($C$8)</formula1>
    </dataValidation>
    <dataValidation type="list" allowBlank="1" showInputMessage="1" showErrorMessage="1" sqref="D6:D7">
      <formula1>$I$18:$I$23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طباعة2">
                <anchor moveWithCells="1" sizeWithCells="1">
                  <from>
                    <xdr:col>2</xdr:col>
                    <xdr:colOff>161925</xdr:colOff>
                    <xdr:row>18</xdr:row>
                    <xdr:rowOff>28575</xdr:rowOff>
                  </from>
                  <to>
                    <xdr:col>3</xdr:col>
                    <xdr:colOff>323850</xdr:colOff>
                    <xdr:row>20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'اسماء مهندسي المكاتب'!$A$8:$A$9</xm:f>
          </x14:formula1>
          <xm:sqref>D11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C8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D8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B8</xm:sqref>
        </x14:dataValidation>
        <x14:dataValidation type="list" allowBlank="1" showInputMessage="1" showErrorMessage="1">
          <x14:formula1>
            <xm:f>'اسماء مهندسي المكاتب'!$E$7:$E$17</xm:f>
          </x14:formula1>
          <xm:sqref>B9</xm:sqref>
        </x14:dataValidation>
        <x14:dataValidation type="list" allowBlank="1" showInputMessage="1" showErrorMessage="1">
          <x14:formula1>
            <xm:f>'اسماء مهندسي المكاتب'!$H$7:$H$12</xm:f>
          </x14:formula1>
          <xm:sqref>C9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B11 C11</xm:sqref>
        </x14:dataValidation>
        <x14:dataValidation type="list" allowBlank="1" showInputMessage="1" showErrorMessage="1">
          <x14:formula1>
            <xm:f>'اسماء مهندسي المكاتب'!$J$7:$J$11</xm:f>
          </x14:formula1>
          <xm:sqref>D9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92"/>
  <sheetViews>
    <sheetView rightToLeft="1" topLeftCell="J24" workbookViewId="0">
      <selection activeCell="M2" sqref="M2:T37"/>
    </sheetView>
  </sheetViews>
  <sheetFormatPr defaultColWidth="8.75" defaultRowHeight="14.25" x14ac:dyDescent="0.2"/>
  <cols>
    <col min="1" max="1" width="24.625" style="8" bestFit="1" customWidth="1"/>
    <col min="2" max="2" width="17.5" style="8" bestFit="1" customWidth="1"/>
    <col min="3" max="3" width="14.75" style="8" bestFit="1" customWidth="1"/>
    <col min="4" max="4" width="18.25" style="8" bestFit="1" customWidth="1"/>
    <col min="5" max="5" width="19.625" style="8" bestFit="1" customWidth="1"/>
    <col min="6" max="6" width="9.375" style="8" bestFit="1" customWidth="1"/>
    <col min="7" max="7" width="7.875" style="8" bestFit="1" customWidth="1"/>
    <col min="8" max="8" width="7.125" style="8" bestFit="1" customWidth="1"/>
    <col min="9" max="9" width="30.125" style="8" customWidth="1"/>
    <col min="10" max="10" width="12.25" style="8" bestFit="1" customWidth="1"/>
    <col min="11" max="11" width="11.125" style="8" customWidth="1"/>
    <col min="12" max="12" width="3.75" style="8" customWidth="1"/>
    <col min="13" max="13" width="21.25" style="8" bestFit="1" customWidth="1"/>
    <col min="14" max="14" width="17" style="8" customWidth="1"/>
    <col min="15" max="15" width="12.875" style="8" bestFit="1" customWidth="1"/>
    <col min="16" max="16" width="13" style="8" bestFit="1" customWidth="1"/>
    <col min="17" max="17" width="13.5" style="8" bestFit="1" customWidth="1"/>
    <col min="18" max="18" width="18" style="8" customWidth="1"/>
    <col min="19" max="19" width="8" style="8" bestFit="1" customWidth="1"/>
    <col min="20" max="20" width="3.375" style="8" bestFit="1" customWidth="1"/>
    <col min="21" max="24" width="8.75" style="8"/>
    <col min="25" max="25" width="15.75" style="8" customWidth="1"/>
    <col min="26" max="16384" width="8.75" style="8"/>
  </cols>
  <sheetData>
    <row r="1" spans="1:24" ht="18" customHeight="1" x14ac:dyDescent="0.2">
      <c r="A1" s="191" t="s">
        <v>35</v>
      </c>
      <c r="B1" s="187" t="s">
        <v>36</v>
      </c>
      <c r="C1" s="188"/>
      <c r="D1" s="189"/>
      <c r="E1" s="83" t="s">
        <v>37</v>
      </c>
      <c r="F1" s="185" t="s">
        <v>111</v>
      </c>
      <c r="G1" s="186"/>
      <c r="H1" s="192" t="s">
        <v>39</v>
      </c>
      <c r="I1" s="194">
        <v>51</v>
      </c>
      <c r="J1" s="195"/>
    </row>
    <row r="2" spans="1:24" ht="21" customHeight="1" x14ac:dyDescent="0.2">
      <c r="A2" s="191"/>
      <c r="B2" s="190"/>
      <c r="C2" s="188"/>
      <c r="D2" s="189"/>
      <c r="E2" s="83" t="s">
        <v>40</v>
      </c>
      <c r="F2" s="185" t="s">
        <v>111</v>
      </c>
      <c r="G2" s="186"/>
      <c r="H2" s="193"/>
      <c r="I2" s="196"/>
      <c r="J2" s="197"/>
      <c r="M2" s="105" t="s">
        <v>41</v>
      </c>
      <c r="N2" s="105"/>
      <c r="O2" s="105"/>
      <c r="Q2" s="106" t="s">
        <v>42</v>
      </c>
      <c r="R2" s="106"/>
      <c r="S2" s="106"/>
      <c r="T2" s="106"/>
      <c r="U2" s="9"/>
      <c r="V2" s="9"/>
      <c r="W2" s="9"/>
      <c r="X2" s="9"/>
    </row>
    <row r="3" spans="1:24" ht="18" customHeight="1" x14ac:dyDescent="0.2">
      <c r="A3" s="107" t="s">
        <v>43</v>
      </c>
      <c r="B3" s="10">
        <v>1560000</v>
      </c>
      <c r="C3" s="98"/>
      <c r="D3" s="11"/>
      <c r="E3" s="83" t="s">
        <v>44</v>
      </c>
      <c r="F3" s="185" t="s">
        <v>110</v>
      </c>
      <c r="G3" s="186"/>
      <c r="H3" s="85" t="s">
        <v>46</v>
      </c>
      <c r="I3" s="185"/>
      <c r="J3" s="186"/>
      <c r="M3" s="105"/>
      <c r="N3" s="105"/>
      <c r="O3" s="105"/>
      <c r="Q3" s="106"/>
      <c r="R3" s="106"/>
      <c r="S3" s="106"/>
      <c r="T3" s="106"/>
      <c r="U3" s="9"/>
      <c r="V3" s="9"/>
      <c r="W3" s="9"/>
      <c r="X3" s="9"/>
    </row>
    <row r="4" spans="1:24" ht="15" customHeight="1" x14ac:dyDescent="0.25">
      <c r="A4" s="107"/>
      <c r="B4" s="10"/>
      <c r="C4" s="98"/>
      <c r="D4" s="11"/>
      <c r="E4" s="84" t="s">
        <v>47</v>
      </c>
      <c r="F4" s="87">
        <v>439</v>
      </c>
      <c r="G4" s="88" t="s">
        <v>48</v>
      </c>
      <c r="H4" s="185" t="s">
        <v>49</v>
      </c>
      <c r="I4" s="186"/>
      <c r="M4" s="113" t="s">
        <v>50</v>
      </c>
      <c r="N4" s="113"/>
      <c r="O4" s="113"/>
      <c r="Q4" s="114" t="s">
        <v>51</v>
      </c>
      <c r="R4" s="114"/>
      <c r="S4" s="114"/>
      <c r="T4" s="15"/>
      <c r="U4" s="15"/>
      <c r="V4" s="15"/>
      <c r="W4" s="15"/>
      <c r="X4" s="15"/>
    </row>
    <row r="5" spans="1:24" ht="12" customHeight="1" x14ac:dyDescent="0.2">
      <c r="A5" s="16"/>
      <c r="B5" s="16"/>
      <c r="C5" s="16"/>
      <c r="D5" s="16"/>
      <c r="E5" s="16"/>
      <c r="F5" s="16"/>
      <c r="G5" s="86"/>
      <c r="M5" s="113"/>
      <c r="N5" s="113"/>
      <c r="O5" s="113"/>
      <c r="Q5" s="114"/>
      <c r="R5" s="114"/>
      <c r="S5" s="114"/>
      <c r="T5" s="15"/>
      <c r="U5" s="15"/>
      <c r="V5" s="15"/>
      <c r="W5" s="15"/>
      <c r="X5" s="15"/>
    </row>
    <row r="6" spans="1:24" ht="15" customHeight="1" x14ac:dyDescent="0.2">
      <c r="A6" s="198" t="s">
        <v>32</v>
      </c>
      <c r="B6" s="199" t="s">
        <v>105</v>
      </c>
      <c r="C6" s="200" t="s">
        <v>52</v>
      </c>
      <c r="D6" s="128" t="s">
        <v>53</v>
      </c>
      <c r="M6" s="129" t="s">
        <v>54</v>
      </c>
      <c r="N6" s="113" t="str">
        <f>D6</f>
        <v>الحسكه</v>
      </c>
      <c r="O6" s="113"/>
      <c r="P6" s="17"/>
      <c r="Q6" s="132" t="str">
        <f>IF(AND(N6="قامشلو"),(J18),IF(AND(N6="ديريك"),(J20),IF(AND(N6="الحسكه"),(J19),IF(AND(N6="عاموده"),(J22)))))</f>
        <v>Hesekê</v>
      </c>
      <c r="R6" s="133" t="s">
        <v>55</v>
      </c>
      <c r="S6" s="133"/>
      <c r="T6" s="9"/>
      <c r="U6" s="9"/>
      <c r="V6" s="9"/>
      <c r="W6" s="9"/>
      <c r="X6" s="9"/>
    </row>
    <row r="7" spans="1:24" ht="15.75" customHeight="1" x14ac:dyDescent="0.2">
      <c r="A7" s="198"/>
      <c r="B7" s="199"/>
      <c r="C7" s="201"/>
      <c r="D7" s="128"/>
      <c r="M7" s="129"/>
      <c r="N7" s="113"/>
      <c r="O7" s="113"/>
      <c r="Q7" s="132"/>
      <c r="R7" s="133"/>
      <c r="S7" s="133"/>
      <c r="T7" s="9"/>
      <c r="U7" s="9"/>
      <c r="V7" s="9"/>
      <c r="W7" s="9"/>
      <c r="X7" s="9"/>
    </row>
    <row r="8" spans="1:24" ht="19.5" customHeight="1" x14ac:dyDescent="0.2">
      <c r="A8" s="89" t="s">
        <v>56</v>
      </c>
      <c r="B8" s="19" t="s">
        <v>57</v>
      </c>
      <c r="C8" s="20" t="s">
        <v>58</v>
      </c>
      <c r="D8" s="21" t="s">
        <v>59</v>
      </c>
      <c r="E8" s="202" t="s">
        <v>52</v>
      </c>
      <c r="F8" s="202" t="s">
        <v>60</v>
      </c>
      <c r="I8" s="140" t="s">
        <v>61</v>
      </c>
      <c r="J8" s="140"/>
      <c r="M8" s="22" t="s">
        <v>62</v>
      </c>
      <c r="N8" s="141">
        <f ca="1">TODAY()</f>
        <v>46211</v>
      </c>
      <c r="O8" s="141"/>
      <c r="Q8" s="23">
        <f ca="1">TODAY()</f>
        <v>46211</v>
      </c>
      <c r="R8" s="114" t="s">
        <v>63</v>
      </c>
      <c r="S8" s="114"/>
      <c r="T8" s="15"/>
      <c r="U8" s="15"/>
      <c r="V8" s="15"/>
      <c r="W8" s="15"/>
      <c r="X8" s="15"/>
    </row>
    <row r="9" spans="1:24" ht="21" customHeight="1" x14ac:dyDescent="0.2">
      <c r="A9" s="90" t="s">
        <v>0</v>
      </c>
      <c r="B9" s="19" t="s">
        <v>12</v>
      </c>
      <c r="C9" s="20" t="s">
        <v>23</v>
      </c>
      <c r="D9" s="21" t="s">
        <v>28</v>
      </c>
      <c r="E9" s="203"/>
      <c r="F9" s="203"/>
      <c r="H9" s="8">
        <v>9</v>
      </c>
      <c r="I9" s="25" t="s">
        <v>65</v>
      </c>
      <c r="J9" s="25">
        <v>0.1</v>
      </c>
      <c r="M9" s="142" t="s">
        <v>66</v>
      </c>
      <c r="N9" s="142"/>
      <c r="O9" s="142"/>
      <c r="P9" s="142"/>
      <c r="Q9" s="142"/>
      <c r="R9" s="142"/>
      <c r="S9" s="142"/>
      <c r="T9" s="26"/>
      <c r="U9" s="26"/>
      <c r="V9" s="27"/>
      <c r="W9" s="27"/>
      <c r="X9" s="27"/>
    </row>
    <row r="10" spans="1:24" ht="21" customHeight="1" x14ac:dyDescent="0.2">
      <c r="A10" s="90" t="s">
        <v>67</v>
      </c>
      <c r="B10" s="19" t="s">
        <v>68</v>
      </c>
      <c r="C10" s="20" t="s">
        <v>68</v>
      </c>
      <c r="D10" s="21" t="s">
        <v>68</v>
      </c>
      <c r="E10" s="203"/>
      <c r="F10" s="203"/>
      <c r="H10" s="8">
        <v>10</v>
      </c>
      <c r="I10" s="25" t="s">
        <v>69</v>
      </c>
      <c r="J10" s="25">
        <v>0.2</v>
      </c>
      <c r="M10" s="143" t="s">
        <v>70</v>
      </c>
      <c r="N10" s="143"/>
      <c r="O10" s="143"/>
      <c r="P10" s="143"/>
      <c r="Q10" s="143"/>
      <c r="R10" s="143"/>
      <c r="S10" s="143"/>
      <c r="T10" s="28"/>
      <c r="U10" s="28"/>
      <c r="V10" s="28"/>
      <c r="W10" s="28"/>
      <c r="X10" s="29"/>
    </row>
    <row r="11" spans="1:24" ht="21" customHeight="1" x14ac:dyDescent="0.2">
      <c r="A11" s="89" t="s">
        <v>71</v>
      </c>
      <c r="B11" s="30" t="s">
        <v>72</v>
      </c>
      <c r="C11" s="30" t="s">
        <v>30</v>
      </c>
      <c r="D11" s="30" t="s">
        <v>30</v>
      </c>
      <c r="E11" s="204"/>
      <c r="F11" s="204"/>
      <c r="H11" s="8">
        <v>11</v>
      </c>
      <c r="I11" s="25"/>
      <c r="J11" s="25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4" ht="22.5" customHeight="1" x14ac:dyDescent="0.2">
      <c r="A12" s="91" t="s">
        <v>73</v>
      </c>
      <c r="B12" s="32">
        <v>552000</v>
      </c>
      <c r="C12" s="32">
        <v>345000</v>
      </c>
      <c r="D12" s="32">
        <v>345000</v>
      </c>
      <c r="E12" s="32">
        <v>69000</v>
      </c>
      <c r="F12" s="32">
        <f>E12</f>
        <v>69000</v>
      </c>
      <c r="G12" s="8">
        <f>SUM(B12:F12)</f>
        <v>1380000</v>
      </c>
      <c r="H12" s="8">
        <v>12</v>
      </c>
      <c r="I12" s="25"/>
      <c r="J12" s="25"/>
      <c r="M12" s="33" t="s">
        <v>74</v>
      </c>
      <c r="N12" s="134" t="str">
        <f>F1</f>
        <v>محمد صالح خليل</v>
      </c>
      <c r="O12" s="134"/>
      <c r="P12" s="135" t="s">
        <v>75</v>
      </c>
      <c r="Q12" s="136" t="str">
        <f>H4</f>
        <v>صيدلية او مستودع او مخبر او غيرها</v>
      </c>
      <c r="R12" s="136"/>
      <c r="V12" s="28"/>
      <c r="W12" s="28"/>
    </row>
    <row r="13" spans="1:24" ht="21.75" customHeight="1" x14ac:dyDescent="0.2">
      <c r="A13" s="89" t="s">
        <v>1</v>
      </c>
      <c r="B13" s="92">
        <v>138000</v>
      </c>
      <c r="C13" s="92">
        <f>IF(C11="داخل الصندوق بنسبة 25%",345000*25%,345000*10%)</f>
        <v>86250</v>
      </c>
      <c r="D13" s="92">
        <f>IF(D11="داخل الصندوق بنسبة 25%",345000*25%,345000*10%)</f>
        <v>86250</v>
      </c>
      <c r="E13" s="93"/>
      <c r="F13" s="93"/>
      <c r="H13" s="8">
        <v>13</v>
      </c>
      <c r="I13" s="25" t="s">
        <v>72</v>
      </c>
      <c r="J13" s="25">
        <v>0.25</v>
      </c>
      <c r="M13" s="36" t="str">
        <f>E2</f>
        <v>صاحب العلاقة(الصيدلي) :</v>
      </c>
      <c r="N13" s="134" t="str">
        <f>F2</f>
        <v>محمد صالح خليل</v>
      </c>
      <c r="O13" s="134"/>
      <c r="P13" s="135"/>
      <c r="Q13" s="136"/>
      <c r="R13" s="136"/>
      <c r="S13" s="37"/>
      <c r="T13" s="37"/>
      <c r="U13" s="36"/>
      <c r="V13" s="28"/>
      <c r="W13" s="38"/>
    </row>
    <row r="14" spans="1:24" ht="18" x14ac:dyDescent="0.25">
      <c r="A14" s="89" t="s">
        <v>2</v>
      </c>
      <c r="B14" s="92">
        <f>B12-B13</f>
        <v>414000</v>
      </c>
      <c r="C14" s="92">
        <f t="shared" ref="C14:D14" si="0">C12-C13</f>
        <v>258750</v>
      </c>
      <c r="D14" s="92">
        <f t="shared" si="0"/>
        <v>258750</v>
      </c>
      <c r="E14" s="93"/>
      <c r="F14" s="93"/>
      <c r="H14" s="8">
        <v>14</v>
      </c>
      <c r="I14" s="25" t="s">
        <v>76</v>
      </c>
      <c r="J14" s="25">
        <v>0.4</v>
      </c>
      <c r="M14" s="39"/>
      <c r="N14" s="40"/>
      <c r="O14" s="40"/>
      <c r="P14" s="39"/>
      <c r="Q14" s="39"/>
      <c r="R14" s="39"/>
      <c r="S14" s="39"/>
      <c r="T14" s="39"/>
      <c r="U14" s="41"/>
      <c r="V14" s="42"/>
    </row>
    <row r="15" spans="1:24" ht="20.25" x14ac:dyDescent="0.25">
      <c r="A15" s="89" t="s">
        <v>77</v>
      </c>
      <c r="B15" s="92">
        <f>IF(AND(B10="لا يوجد"),(0),IF(AND(B11=I9),((B14)*0.1),IF(AND(B11=I10),((B14)*0.1),IF(AND(B11=I11),((B14)*0.1),IF(AND(B11=I12),((B14)*0.1),IF(AND(B11=I13),((B14)*0.1),IF(AND(B11=I14),((B14)*0.1),IF(AND(B11=I15),((B14)*0.1)))))))))</f>
        <v>0</v>
      </c>
      <c r="C15" s="92">
        <f>IF(AND(C10="لا يوجد"),(0),IF(AND(C11=I9),((C14)*0.1),IF(AND(C11=I10),((C14)*0.1),IF(AND(C11=I11),((C14)*0.1),IF(AND(C11=I12),((C14)*0.1),IF(AND(C11=I13),((C14)*0.1),IF(AND(C11=I14),((C14)*0.1),IF(AND(C11=I15),((C14)*0.1)))))))))</f>
        <v>0</v>
      </c>
      <c r="D15" s="92">
        <f>IF(AND(D10="لا يوجد"),(0),IF(AND(D11=I9),((D14)*0.1),IF(AND(D11=I10),((D14)*0.1),IF(AND(D11=I11),((D14)*0.1),IF(AND(D11=I12),((D14)*0.1),IF(AND(D11=I13),((D14)*0.1),IF(AND(D11=I14),((D14)*0.1),IF(AND(D11=I15),((D14)*0.1)))))))))</f>
        <v>0</v>
      </c>
      <c r="E15" s="93"/>
      <c r="F15" s="93"/>
      <c r="H15" s="8">
        <v>15</v>
      </c>
      <c r="I15" s="25"/>
      <c r="J15" s="25"/>
      <c r="M15" s="43" t="s">
        <v>78</v>
      </c>
      <c r="N15" s="44">
        <f>B21</f>
        <v>1560000</v>
      </c>
      <c r="O15" s="6" t="s">
        <v>79</v>
      </c>
      <c r="P15" s="45" t="s">
        <v>47</v>
      </c>
      <c r="Q15" s="40">
        <f>F4</f>
        <v>439</v>
      </c>
      <c r="R15" s="37" t="s">
        <v>106</v>
      </c>
      <c r="S15" s="33"/>
      <c r="T15" s="36"/>
      <c r="U15" s="114"/>
      <c r="V15" s="114"/>
      <c r="W15" s="38"/>
    </row>
    <row r="16" spans="1:24" ht="18" x14ac:dyDescent="0.2">
      <c r="A16" s="89" t="s">
        <v>3</v>
      </c>
      <c r="B16" s="94">
        <v>60000</v>
      </c>
      <c r="C16" s="94">
        <v>60000</v>
      </c>
      <c r="D16" s="94">
        <v>60000</v>
      </c>
      <c r="E16" s="93"/>
      <c r="F16" s="93"/>
      <c r="M16" s="39"/>
      <c r="N16" s="39"/>
      <c r="O16" s="39"/>
      <c r="P16" s="39"/>
      <c r="Q16" s="47"/>
      <c r="R16" s="47"/>
      <c r="U16" s="39"/>
      <c r="V16" s="42"/>
    </row>
    <row r="17" spans="1:34" ht="27" customHeight="1" x14ac:dyDescent="0.2">
      <c r="A17" s="89" t="s">
        <v>82</v>
      </c>
      <c r="B17" s="92">
        <v>414000</v>
      </c>
      <c r="C17" s="92">
        <f>C14-C15</f>
        <v>258750</v>
      </c>
      <c r="D17" s="92">
        <f>D14-D15</f>
        <v>258750</v>
      </c>
      <c r="E17" s="93"/>
      <c r="F17" s="93"/>
      <c r="H17" s="15"/>
      <c r="I17" s="130" t="s">
        <v>83</v>
      </c>
      <c r="J17" s="130"/>
      <c r="M17" s="22" t="s">
        <v>44</v>
      </c>
      <c r="N17" s="131" t="str">
        <f>F3</f>
        <v>حسكة ثانية</v>
      </c>
      <c r="O17" s="131"/>
      <c r="P17" s="22" t="s">
        <v>39</v>
      </c>
      <c r="Q17" s="48">
        <f>I1</f>
        <v>51</v>
      </c>
      <c r="R17" s="22" t="s">
        <v>46</v>
      </c>
      <c r="S17" s="39">
        <f>I3</f>
        <v>0</v>
      </c>
      <c r="U17" s="48"/>
      <c r="V17" s="48"/>
      <c r="W17" s="37"/>
    </row>
    <row r="18" spans="1:34" ht="20.25" customHeight="1" x14ac:dyDescent="0.2">
      <c r="A18" s="144" t="s">
        <v>33</v>
      </c>
      <c r="B18" s="205">
        <f>SUM(B12:F12)</f>
        <v>1380000</v>
      </c>
      <c r="C18" s="95"/>
      <c r="D18" s="95"/>
      <c r="E18" s="95"/>
      <c r="F18" s="96"/>
      <c r="I18" s="52" t="s">
        <v>84</v>
      </c>
      <c r="J18" s="25" t="s">
        <v>85</v>
      </c>
      <c r="M18" s="37"/>
      <c r="N18" s="37"/>
      <c r="O18" s="37"/>
      <c r="P18" s="37"/>
      <c r="Q18" s="37"/>
      <c r="R18" s="37"/>
      <c r="S18" s="37"/>
    </row>
    <row r="19" spans="1:34" ht="15.75" customHeight="1" x14ac:dyDescent="0.2">
      <c r="A19" s="144"/>
      <c r="B19" s="206"/>
      <c r="C19" s="95"/>
      <c r="D19" s="95"/>
      <c r="E19" s="95"/>
      <c r="F19" s="96"/>
      <c r="I19" s="52" t="s">
        <v>53</v>
      </c>
      <c r="J19" s="25" t="s">
        <v>86</v>
      </c>
      <c r="M19" s="53"/>
      <c r="N19" s="53"/>
      <c r="O19" s="54" t="str">
        <f>B8</f>
        <v>معماري_حسكه</v>
      </c>
      <c r="P19" s="54" t="str">
        <f>C8</f>
        <v>كهربا_حسكه</v>
      </c>
      <c r="Q19" s="54" t="str">
        <f>D8</f>
        <v>ميكانيك_حسكه</v>
      </c>
      <c r="R19" s="147" t="str">
        <f>E8</f>
        <v>الغرفة</v>
      </c>
      <c r="S19" s="147" t="str">
        <f>F8</f>
        <v>الاتحاد</v>
      </c>
    </row>
    <row r="20" spans="1:34" ht="26.25" customHeight="1" x14ac:dyDescent="0.2">
      <c r="A20" s="55" t="s">
        <v>87</v>
      </c>
      <c r="B20" s="92">
        <f>B16+C16+D16</f>
        <v>180000</v>
      </c>
      <c r="C20" s="95"/>
      <c r="D20" s="95"/>
      <c r="E20" s="95"/>
      <c r="F20" s="96"/>
      <c r="I20" s="52" t="s">
        <v>88</v>
      </c>
      <c r="J20" s="25" t="s">
        <v>89</v>
      </c>
      <c r="M20" s="53"/>
      <c r="N20" s="53"/>
      <c r="O20" s="147" t="str">
        <f>B11</f>
        <v>داخل الصندوق 25%</v>
      </c>
      <c r="P20" s="147" t="str">
        <f>C11</f>
        <v>داخل الصندوق بنسبة 25%</v>
      </c>
      <c r="Q20" s="147" t="str">
        <f>D11</f>
        <v>داخل الصندوق بنسبة 25%</v>
      </c>
      <c r="R20" s="148"/>
      <c r="S20" s="148"/>
      <c r="T20" s="56"/>
      <c r="U20" s="56"/>
      <c r="V20" s="56"/>
      <c r="W20" s="56"/>
      <c r="X20" s="56"/>
      <c r="Y20" s="56"/>
    </row>
    <row r="21" spans="1:34" ht="14.25" customHeight="1" x14ac:dyDescent="0.2">
      <c r="A21" s="150" t="s">
        <v>4</v>
      </c>
      <c r="B21" s="207">
        <f>B18+B20</f>
        <v>1560000</v>
      </c>
      <c r="C21" s="95"/>
      <c r="D21" s="95"/>
      <c r="E21" s="95"/>
      <c r="F21" s="96"/>
      <c r="H21" s="57"/>
      <c r="I21" s="52" t="s">
        <v>90</v>
      </c>
      <c r="J21" s="25" t="s">
        <v>91</v>
      </c>
      <c r="M21" s="53"/>
      <c r="N21" s="53"/>
      <c r="O21" s="149"/>
      <c r="P21" s="149"/>
      <c r="Q21" s="149"/>
      <c r="R21" s="149"/>
      <c r="S21" s="149"/>
      <c r="T21" s="56"/>
      <c r="U21" s="56"/>
      <c r="V21" s="56"/>
      <c r="W21" s="56"/>
      <c r="X21" s="56"/>
      <c r="Y21" s="56"/>
    </row>
    <row r="22" spans="1:34" ht="21" customHeight="1" x14ac:dyDescent="0.2">
      <c r="A22" s="150"/>
      <c r="B22" s="208"/>
      <c r="C22" s="95"/>
      <c r="D22" s="95"/>
      <c r="E22" s="95"/>
      <c r="F22" s="97"/>
      <c r="H22" s="57"/>
      <c r="I22" s="52" t="s">
        <v>92</v>
      </c>
      <c r="J22" s="25" t="s">
        <v>93</v>
      </c>
      <c r="M22" s="153" t="s">
        <v>94</v>
      </c>
      <c r="N22" s="153"/>
      <c r="O22" s="58">
        <f t="shared" ref="O22:S25" si="1">B12</f>
        <v>552000</v>
      </c>
      <c r="P22" s="58">
        <f t="shared" si="1"/>
        <v>345000</v>
      </c>
      <c r="Q22" s="58">
        <f t="shared" si="1"/>
        <v>345000</v>
      </c>
      <c r="R22" s="58">
        <f t="shared" si="1"/>
        <v>69000</v>
      </c>
      <c r="S22" s="58">
        <f t="shared" si="1"/>
        <v>69000</v>
      </c>
      <c r="T22" s="56"/>
      <c r="U22" s="56"/>
      <c r="V22" s="56"/>
      <c r="W22" s="56"/>
      <c r="X22" s="56"/>
      <c r="Y22" s="56"/>
    </row>
    <row r="23" spans="1:34" s="59" customFormat="1" ht="21" customHeight="1" x14ac:dyDescent="0.2">
      <c r="G23" s="8"/>
      <c r="H23" s="57"/>
      <c r="I23" s="52"/>
      <c r="J23" s="25"/>
      <c r="K23" s="56"/>
      <c r="L23" s="56"/>
      <c r="M23" s="153" t="s">
        <v>95</v>
      </c>
      <c r="N23" s="153"/>
      <c r="O23" s="58">
        <f t="shared" si="1"/>
        <v>138000</v>
      </c>
      <c r="P23" s="58">
        <f t="shared" si="1"/>
        <v>86250</v>
      </c>
      <c r="Q23" s="58">
        <f t="shared" si="1"/>
        <v>86250</v>
      </c>
      <c r="R23" s="58">
        <f t="shared" si="1"/>
        <v>0</v>
      </c>
      <c r="S23" s="58">
        <f t="shared" si="1"/>
        <v>0</v>
      </c>
      <c r="T23" s="56"/>
      <c r="U23" s="56"/>
      <c r="V23" s="56"/>
      <c r="W23" s="56"/>
      <c r="X23" s="56"/>
      <c r="Y23" s="56"/>
      <c r="Z23" s="56"/>
      <c r="AA23" s="56"/>
      <c r="AE23" s="56"/>
      <c r="AF23" s="56"/>
      <c r="AG23" s="56"/>
      <c r="AH23" s="56"/>
    </row>
    <row r="24" spans="1:34" s="59" customFormat="1" ht="21" customHeight="1" x14ac:dyDescent="0.2">
      <c r="G24" s="56"/>
      <c r="H24" s="57"/>
      <c r="I24" s="57"/>
      <c r="J24" s="56"/>
      <c r="K24" s="56"/>
      <c r="L24" s="56"/>
      <c r="M24" s="153" t="s">
        <v>96</v>
      </c>
      <c r="N24" s="153"/>
      <c r="O24" s="58">
        <f t="shared" si="1"/>
        <v>414000</v>
      </c>
      <c r="P24" s="58">
        <f t="shared" si="1"/>
        <v>258750</v>
      </c>
      <c r="Q24" s="58">
        <f t="shared" si="1"/>
        <v>258750</v>
      </c>
      <c r="R24" s="58">
        <f t="shared" si="1"/>
        <v>0</v>
      </c>
      <c r="S24" s="58">
        <f t="shared" si="1"/>
        <v>0</v>
      </c>
      <c r="T24" s="56"/>
      <c r="U24" s="56"/>
      <c r="V24" s="56"/>
      <c r="W24" s="56"/>
      <c r="X24" s="56"/>
      <c r="Y24" s="56"/>
      <c r="Z24" s="56"/>
      <c r="AA24" s="56"/>
      <c r="AE24" s="56"/>
      <c r="AF24" s="56"/>
      <c r="AG24" s="56"/>
      <c r="AH24" s="56"/>
    </row>
    <row r="25" spans="1:34" s="59" customFormat="1" ht="21" customHeight="1" x14ac:dyDescent="0.2">
      <c r="G25" s="56"/>
      <c r="H25" s="57"/>
      <c r="I25" s="57"/>
      <c r="J25" s="56"/>
      <c r="K25" s="56"/>
      <c r="L25" s="56"/>
      <c r="M25" s="153" t="s">
        <v>77</v>
      </c>
      <c r="N25" s="153"/>
      <c r="O25" s="58">
        <f t="shared" si="1"/>
        <v>0</v>
      </c>
      <c r="P25" s="58">
        <f t="shared" si="1"/>
        <v>0</v>
      </c>
      <c r="Q25" s="58">
        <f t="shared" si="1"/>
        <v>0</v>
      </c>
      <c r="R25" s="58">
        <f t="shared" si="1"/>
        <v>0</v>
      </c>
      <c r="S25" s="58">
        <f t="shared" si="1"/>
        <v>0</v>
      </c>
      <c r="T25" s="56"/>
      <c r="U25" s="56"/>
      <c r="V25" s="56"/>
      <c r="W25" s="56"/>
      <c r="X25" s="56"/>
      <c r="Y25" s="56"/>
      <c r="Z25" s="56"/>
      <c r="AA25" s="56"/>
      <c r="AE25" s="56"/>
      <c r="AF25" s="56"/>
      <c r="AG25" s="56"/>
      <c r="AH25" s="56"/>
    </row>
    <row r="26" spans="1:34" ht="21" customHeight="1" x14ac:dyDescent="0.2">
      <c r="F26" s="56"/>
      <c r="G26" s="56"/>
      <c r="M26" s="153" t="s">
        <v>97</v>
      </c>
      <c r="N26" s="153"/>
      <c r="O26" s="58">
        <f>B17</f>
        <v>414000</v>
      </c>
      <c r="P26" s="58">
        <f>C17</f>
        <v>258750</v>
      </c>
      <c r="Q26" s="58">
        <f>D17</f>
        <v>258750</v>
      </c>
      <c r="R26" s="58">
        <f>E17</f>
        <v>0</v>
      </c>
      <c r="S26" s="58">
        <f>F17</f>
        <v>0</v>
      </c>
      <c r="T26" s="56"/>
      <c r="U26" s="56"/>
      <c r="V26" s="56"/>
      <c r="W26" s="56"/>
      <c r="X26" s="56"/>
      <c r="Y26" s="56"/>
    </row>
    <row r="27" spans="1:34" ht="21" customHeight="1" x14ac:dyDescent="0.2">
      <c r="M27" s="153" t="s">
        <v>34</v>
      </c>
      <c r="N27" s="153"/>
      <c r="O27" s="60">
        <f>B17+B16</f>
        <v>474000</v>
      </c>
      <c r="P27" s="60">
        <f>C17+C16</f>
        <v>318750</v>
      </c>
      <c r="Q27" s="60">
        <f>D17+D16</f>
        <v>318750</v>
      </c>
      <c r="R27" s="60">
        <f>E17+E16</f>
        <v>0</v>
      </c>
      <c r="S27" s="60">
        <f>F17+F16</f>
        <v>0</v>
      </c>
      <c r="T27" s="56"/>
      <c r="U27" s="56"/>
      <c r="V27" s="56"/>
      <c r="W27" s="56"/>
      <c r="X27" s="56"/>
      <c r="Y27" s="56"/>
    </row>
    <row r="28" spans="1:34" ht="21" customHeight="1" x14ac:dyDescent="0.2">
      <c r="M28" s="153" t="s">
        <v>0</v>
      </c>
      <c r="N28" s="153"/>
      <c r="O28" s="154" t="str">
        <f>B9</f>
        <v>مروان بربندي</v>
      </c>
      <c r="P28" s="154" t="str">
        <f>C9</f>
        <v>سهيلة دولي</v>
      </c>
      <c r="Q28" s="154" t="str">
        <f>D9</f>
        <v>محمد يوسف</v>
      </c>
      <c r="R28" s="154">
        <f>E9</f>
        <v>0</v>
      </c>
      <c r="S28" s="154">
        <f>F9</f>
        <v>0</v>
      </c>
    </row>
    <row r="29" spans="1:34" ht="21" customHeight="1" x14ac:dyDescent="0.2">
      <c r="M29" s="153"/>
      <c r="N29" s="153"/>
      <c r="O29" s="154"/>
      <c r="P29" s="154"/>
      <c r="Q29" s="154"/>
      <c r="R29" s="154"/>
      <c r="S29" s="154"/>
    </row>
    <row r="30" spans="1:34" ht="34.5" customHeight="1" x14ac:dyDescent="0.2">
      <c r="M30" s="153" t="s">
        <v>98</v>
      </c>
      <c r="N30" s="153"/>
      <c r="O30" s="58"/>
      <c r="P30" s="61"/>
      <c r="Q30" s="61"/>
      <c r="R30" s="61"/>
      <c r="S30" s="61"/>
    </row>
    <row r="31" spans="1:34" s="42" customFormat="1" ht="35.25" customHeight="1" x14ac:dyDescent="0.2">
      <c r="G31" s="8"/>
      <c r="H31" s="156" t="s">
        <v>99</v>
      </c>
      <c r="I31" s="156"/>
      <c r="J31" s="156"/>
      <c r="M31" s="153" t="s">
        <v>67</v>
      </c>
      <c r="N31" s="153"/>
      <c r="O31" s="61" t="str">
        <f>B10</f>
        <v>لا يوجد</v>
      </c>
      <c r="P31" s="61" t="str">
        <f>C10</f>
        <v>لا يوجد</v>
      </c>
      <c r="Q31" s="61" t="str">
        <f>D10</f>
        <v>لا يوجد</v>
      </c>
      <c r="R31" s="61">
        <f>E10</f>
        <v>0</v>
      </c>
      <c r="S31" s="61">
        <f>F10</f>
        <v>0</v>
      </c>
    </row>
    <row r="32" spans="1:34" s="42" customFormat="1" ht="24.75" customHeight="1" x14ac:dyDescent="0.2">
      <c r="H32" s="157" t="s">
        <v>43</v>
      </c>
      <c r="I32" s="157"/>
      <c r="J32" s="62">
        <v>100000</v>
      </c>
      <c r="M32" s="153" t="s">
        <v>77</v>
      </c>
      <c r="N32" s="153"/>
      <c r="O32" s="60">
        <f>B15</f>
        <v>0</v>
      </c>
      <c r="P32" s="60">
        <f>C15</f>
        <v>0</v>
      </c>
      <c r="Q32" s="60">
        <f>D15</f>
        <v>0</v>
      </c>
      <c r="R32" s="60">
        <f>E15</f>
        <v>0</v>
      </c>
      <c r="S32" s="60">
        <f>F15</f>
        <v>0</v>
      </c>
    </row>
    <row r="33" spans="7:21" s="42" customFormat="1" ht="36" customHeight="1" x14ac:dyDescent="0.2">
      <c r="H33" s="158" t="s">
        <v>100</v>
      </c>
      <c r="I33" s="158"/>
      <c r="J33" s="62">
        <v>150000</v>
      </c>
      <c r="M33" s="153" t="s">
        <v>101</v>
      </c>
      <c r="N33" s="153"/>
      <c r="O33" s="58"/>
      <c r="P33" s="63"/>
      <c r="Q33" s="61"/>
      <c r="R33" s="61"/>
      <c r="S33" s="61"/>
    </row>
    <row r="34" spans="7:21" s="42" customFormat="1" ht="20.25" customHeight="1" x14ac:dyDescent="0.2">
      <c r="H34" s="159" t="s">
        <v>102</v>
      </c>
      <c r="I34" s="160"/>
      <c r="J34" s="161">
        <v>500</v>
      </c>
      <c r="N34" s="64"/>
      <c r="O34" s="65"/>
    </row>
    <row r="35" spans="7:21" s="42" customFormat="1" ht="20.25" customHeight="1" x14ac:dyDescent="0.2">
      <c r="H35" s="163" t="s">
        <v>103</v>
      </c>
      <c r="I35" s="164"/>
      <c r="J35" s="162"/>
      <c r="N35" s="64"/>
      <c r="O35" s="165" t="s">
        <v>104</v>
      </c>
      <c r="P35" s="165"/>
      <c r="Q35" s="165"/>
      <c r="R35" s="165"/>
      <c r="S35" s="166" t="str">
        <f>D6</f>
        <v>الحسكه</v>
      </c>
      <c r="T35" s="166"/>
      <c r="U35" s="66"/>
    </row>
    <row r="36" spans="7:21" s="42" customFormat="1" ht="20.25" customHeight="1" x14ac:dyDescent="0.2">
      <c r="O36" s="67"/>
      <c r="P36" s="155"/>
      <c r="Q36" s="155"/>
      <c r="R36" s="155"/>
      <c r="S36" s="155"/>
    </row>
    <row r="37" spans="7:21" s="42" customFormat="1" ht="20.25" customHeight="1" x14ac:dyDescent="0.2">
      <c r="Q37" s="66"/>
      <c r="R37" s="66"/>
      <c r="S37" s="56"/>
    </row>
    <row r="38" spans="7:21" s="42" customFormat="1" ht="20.25" customHeight="1" x14ac:dyDescent="0.2"/>
    <row r="39" spans="7:21" s="42" customFormat="1" ht="20.25" customHeight="1" x14ac:dyDescent="0.2"/>
    <row r="40" spans="7:21" s="69" customFormat="1" ht="20.25" customHeight="1" x14ac:dyDescent="0.2">
      <c r="G40" s="56"/>
      <c r="H40" s="68"/>
      <c r="I40" s="68"/>
    </row>
    <row r="41" spans="7:21" s="69" customFormat="1" ht="20.25" customHeight="1" x14ac:dyDescent="0.2"/>
    <row r="42" spans="7:21" s="69" customFormat="1" ht="20.25" customHeight="1" x14ac:dyDescent="0.2"/>
    <row r="43" spans="7:21" s="69" customFormat="1" ht="20.25" customHeight="1" x14ac:dyDescent="0.2"/>
    <row r="44" spans="7:21" s="42" customFormat="1" ht="20.25" customHeight="1" x14ac:dyDescent="0.2"/>
    <row r="45" spans="7:21" s="42" customFormat="1" ht="20.25" customHeight="1" x14ac:dyDescent="0.2"/>
    <row r="46" spans="7:21" s="42" customFormat="1" ht="20.25" customHeight="1" x14ac:dyDescent="0.2"/>
    <row r="47" spans="7:21" s="42" customFormat="1" ht="20.25" customHeight="1" x14ac:dyDescent="0.2"/>
    <row r="48" spans="7:21" s="42" customFormat="1" ht="20.25" customHeight="1" x14ac:dyDescent="0.2"/>
    <row r="49" spans="13:24" s="42" customFormat="1" ht="20.25" customHeight="1" x14ac:dyDescent="0.2"/>
    <row r="50" spans="13:24" ht="14.25" customHeight="1" x14ac:dyDescent="0.2"/>
    <row r="51" spans="13:24" ht="14.25" customHeight="1" x14ac:dyDescent="0.2"/>
    <row r="52" spans="13:24" ht="14.25" customHeight="1" x14ac:dyDescent="0.2"/>
    <row r="53" spans="13:24" ht="23.25" customHeight="1" x14ac:dyDescent="0.2"/>
    <row r="54" spans="13:24" ht="23.25" customHeight="1" x14ac:dyDescent="0.2"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</row>
    <row r="55" spans="13:24" ht="23.25" x14ac:dyDescent="0.2">
      <c r="N55" s="71"/>
      <c r="O55" s="71"/>
      <c r="P55" s="71"/>
      <c r="Q55" s="71"/>
      <c r="R55" s="71"/>
      <c r="S55" s="28"/>
    </row>
    <row r="56" spans="13:24" ht="16.5" x14ac:dyDescent="0.25">
      <c r="N56" s="39"/>
      <c r="O56" s="72"/>
      <c r="P56" s="39"/>
      <c r="Q56" s="39"/>
      <c r="R56" s="41"/>
      <c r="S56" s="42"/>
    </row>
    <row r="57" spans="13:24" ht="16.5" x14ac:dyDescent="0.25">
      <c r="N57" s="22"/>
      <c r="O57" s="168"/>
      <c r="P57" s="168"/>
      <c r="Q57" s="22"/>
      <c r="R57" s="169"/>
      <c r="S57" s="169"/>
    </row>
    <row r="58" spans="13:24" ht="16.5" x14ac:dyDescent="0.2">
      <c r="N58" s="39"/>
      <c r="O58" s="39"/>
      <c r="P58" s="39"/>
      <c r="Q58" s="73"/>
      <c r="R58" s="47"/>
    </row>
    <row r="59" spans="13:24" ht="16.5" x14ac:dyDescent="0.2">
      <c r="N59" s="22"/>
      <c r="O59" s="39"/>
      <c r="P59" s="38"/>
      <c r="Q59" s="22"/>
      <c r="R59" s="39"/>
      <c r="S59" s="39"/>
    </row>
    <row r="60" spans="13:24" ht="16.5" x14ac:dyDescent="0.2">
      <c r="N60" s="39"/>
      <c r="O60" s="39"/>
      <c r="P60" s="39"/>
      <c r="Q60" s="73"/>
      <c r="R60" s="39"/>
      <c r="S60" s="39"/>
    </row>
    <row r="61" spans="13:24" ht="16.5" x14ac:dyDescent="0.2">
      <c r="N61" s="22"/>
      <c r="O61" s="170"/>
      <c r="P61" s="170"/>
      <c r="Q61" s="22"/>
      <c r="R61" s="170"/>
      <c r="S61" s="170"/>
    </row>
    <row r="62" spans="13:24" ht="16.5" x14ac:dyDescent="0.2">
      <c r="N62" s="39"/>
      <c r="O62" s="39"/>
      <c r="P62" s="39"/>
      <c r="Q62" s="39"/>
      <c r="R62" s="39"/>
    </row>
    <row r="63" spans="13:24" ht="16.5" x14ac:dyDescent="0.25">
      <c r="N63" s="45"/>
      <c r="O63" s="42"/>
      <c r="P63" s="57"/>
      <c r="Q63" s="57"/>
      <c r="R63" s="57"/>
      <c r="S63" s="57"/>
    </row>
    <row r="65" spans="1:23" s="75" customFormat="1" ht="15.75" x14ac:dyDescent="0.2">
      <c r="A65" s="74"/>
      <c r="B65" s="74"/>
      <c r="C65" s="74"/>
      <c r="D65" s="74"/>
      <c r="E65" s="74"/>
      <c r="F65" s="74"/>
      <c r="I65" s="74"/>
      <c r="J65" s="74"/>
      <c r="K65" s="74"/>
      <c r="L65" s="74"/>
      <c r="M65" s="74"/>
      <c r="N65" s="53"/>
      <c r="O65" s="76"/>
      <c r="P65" s="76"/>
      <c r="Q65" s="76"/>
      <c r="R65" s="76"/>
      <c r="S65" s="76"/>
      <c r="T65" s="74"/>
      <c r="U65" s="74"/>
      <c r="V65" s="74"/>
      <c r="W65" s="74"/>
    </row>
    <row r="66" spans="1:23" s="75" customFormat="1" ht="18" x14ac:dyDescent="0.2">
      <c r="A66" s="74"/>
      <c r="B66" s="74"/>
      <c r="C66" s="74"/>
      <c r="D66" s="74"/>
      <c r="E66" s="74"/>
      <c r="F66" s="74"/>
      <c r="I66" s="74"/>
      <c r="J66" s="74"/>
      <c r="K66" s="74"/>
      <c r="L66" s="74"/>
      <c r="M66" s="74"/>
      <c r="N66" s="54"/>
      <c r="O66" s="76"/>
      <c r="P66" s="76"/>
      <c r="Q66" s="76"/>
      <c r="R66" s="76"/>
      <c r="S66" s="76"/>
      <c r="T66" s="74"/>
      <c r="U66" s="74"/>
      <c r="V66" s="74"/>
      <c r="W66" s="74"/>
    </row>
    <row r="67" spans="1:23" ht="18" customHeight="1" x14ac:dyDescent="0.2">
      <c r="N67" s="54"/>
      <c r="O67" s="76"/>
      <c r="P67" s="76"/>
      <c r="Q67" s="76"/>
      <c r="R67" s="77"/>
      <c r="S67" s="78"/>
    </row>
    <row r="68" spans="1:23" ht="18" customHeight="1" x14ac:dyDescent="0.2">
      <c r="N68" s="54"/>
      <c r="O68" s="76"/>
      <c r="P68" s="76"/>
      <c r="Q68" s="76"/>
      <c r="R68" s="77"/>
      <c r="S68" s="78"/>
    </row>
    <row r="69" spans="1:23" ht="18" customHeight="1" x14ac:dyDescent="0.2">
      <c r="G69" s="42"/>
      <c r="H69" s="42"/>
      <c r="I69" s="42"/>
      <c r="J69" s="42"/>
      <c r="K69" s="42"/>
      <c r="L69" s="42"/>
      <c r="M69" s="42"/>
      <c r="N69" s="54"/>
      <c r="O69" s="76"/>
      <c r="P69" s="76"/>
      <c r="Q69" s="76"/>
      <c r="R69" s="77"/>
      <c r="S69" s="78"/>
    </row>
    <row r="70" spans="1:23" ht="18" customHeight="1" x14ac:dyDescent="0.2">
      <c r="N70" s="54"/>
      <c r="O70" s="76"/>
      <c r="P70" s="76"/>
      <c r="Q70" s="76"/>
      <c r="R70" s="77"/>
      <c r="S70" s="78"/>
    </row>
    <row r="71" spans="1:23" ht="18" x14ac:dyDescent="0.2">
      <c r="N71" s="54"/>
      <c r="O71" s="61"/>
      <c r="P71" s="61"/>
      <c r="Q71" s="61"/>
      <c r="R71" s="77"/>
      <c r="S71" s="78"/>
    </row>
    <row r="72" spans="1:23" ht="18" customHeight="1" x14ac:dyDescent="0.2">
      <c r="N72" s="64"/>
      <c r="O72" s="65"/>
      <c r="P72" s="42"/>
      <c r="Q72" s="42"/>
      <c r="R72" s="42"/>
      <c r="S72" s="42"/>
    </row>
    <row r="73" spans="1:23" ht="18" customHeight="1" x14ac:dyDescent="0.2">
      <c r="N73" s="64"/>
      <c r="O73" s="65"/>
      <c r="P73" s="42"/>
      <c r="Q73" s="42"/>
      <c r="R73" s="42"/>
      <c r="S73" s="42"/>
    </row>
    <row r="74" spans="1:23" ht="20.25" x14ac:dyDescent="0.2">
      <c r="N74" s="42"/>
      <c r="O74" s="67"/>
      <c r="P74" s="155"/>
      <c r="Q74" s="155"/>
      <c r="R74" s="155"/>
      <c r="S74" s="155"/>
    </row>
    <row r="75" spans="1:23" ht="20.25" x14ac:dyDescent="0.2">
      <c r="G75" s="171"/>
      <c r="H75" s="172"/>
      <c r="I75" s="79"/>
      <c r="J75" s="79"/>
      <c r="K75" s="79"/>
      <c r="L75" s="79"/>
      <c r="M75" s="79"/>
      <c r="N75" s="42"/>
      <c r="O75" s="42"/>
      <c r="P75" s="42"/>
      <c r="Q75" s="66"/>
      <c r="R75" s="66"/>
      <c r="S75" s="56"/>
    </row>
    <row r="76" spans="1:23" ht="18" x14ac:dyDescent="0.2">
      <c r="G76" s="167"/>
      <c r="H76" s="167"/>
      <c r="I76" s="80"/>
      <c r="J76" s="80"/>
      <c r="K76" s="81"/>
      <c r="L76" s="81"/>
      <c r="M76" s="81"/>
    </row>
    <row r="77" spans="1:23" ht="18" x14ac:dyDescent="0.2">
      <c r="G77" s="167"/>
      <c r="H77" s="167"/>
      <c r="I77" s="80"/>
      <c r="J77" s="80"/>
      <c r="K77" s="81"/>
      <c r="L77" s="81"/>
      <c r="M77" s="81"/>
    </row>
    <row r="78" spans="1:23" ht="18" x14ac:dyDescent="0.2">
      <c r="G78" s="167"/>
      <c r="H78" s="167"/>
      <c r="I78" s="80"/>
      <c r="J78" s="80"/>
      <c r="K78" s="81"/>
      <c r="L78" s="81"/>
      <c r="M78" s="81"/>
    </row>
    <row r="79" spans="1:23" ht="18" x14ac:dyDescent="0.2">
      <c r="G79" s="167"/>
      <c r="H79" s="167"/>
      <c r="I79" s="80"/>
      <c r="J79" s="80"/>
      <c r="K79" s="81"/>
      <c r="L79" s="81"/>
      <c r="M79" s="81"/>
    </row>
    <row r="80" spans="1:23" ht="18" x14ac:dyDescent="0.2">
      <c r="G80" s="167"/>
      <c r="H80" s="167"/>
      <c r="I80" s="80"/>
      <c r="J80" s="80"/>
      <c r="K80" s="81"/>
      <c r="L80" s="81"/>
      <c r="M80" s="81"/>
    </row>
    <row r="81" spans="1:13" ht="18" x14ac:dyDescent="0.2">
      <c r="G81" s="167"/>
      <c r="H81" s="167"/>
      <c r="I81" s="80"/>
      <c r="J81" s="80"/>
      <c r="K81" s="81"/>
      <c r="L81" s="81"/>
      <c r="M81" s="81"/>
    </row>
    <row r="82" spans="1:13" ht="18" x14ac:dyDescent="0.2">
      <c r="G82" s="167"/>
      <c r="H82" s="167"/>
      <c r="I82" s="80"/>
      <c r="J82" s="80"/>
      <c r="K82" s="81"/>
      <c r="L82" s="81"/>
      <c r="M82" s="81"/>
    </row>
    <row r="83" spans="1:13" ht="18" x14ac:dyDescent="0.2">
      <c r="G83" s="82"/>
      <c r="H83" s="82"/>
      <c r="I83" s="82"/>
      <c r="J83" s="82"/>
      <c r="K83" s="82"/>
      <c r="L83" s="82"/>
      <c r="M83" s="82"/>
    </row>
    <row r="84" spans="1:13" ht="18" x14ac:dyDescent="0.2">
      <c r="G84" s="171"/>
      <c r="H84" s="171"/>
      <c r="I84" s="173"/>
      <c r="J84" s="81"/>
      <c r="K84" s="81"/>
      <c r="L84" s="81"/>
      <c r="M84" s="81"/>
    </row>
    <row r="85" spans="1:13" ht="18" x14ac:dyDescent="0.2">
      <c r="G85" s="171"/>
      <c r="H85" s="171"/>
      <c r="I85" s="167"/>
      <c r="J85" s="81"/>
      <c r="K85" s="81"/>
      <c r="L85" s="81"/>
      <c r="M85" s="81"/>
    </row>
    <row r="86" spans="1:13" ht="18" x14ac:dyDescent="0.2">
      <c r="G86" s="167"/>
      <c r="H86" s="167"/>
      <c r="I86" s="81"/>
      <c r="J86" s="81"/>
      <c r="K86" s="81"/>
      <c r="L86" s="81"/>
      <c r="M86" s="81"/>
    </row>
    <row r="87" spans="1:13" ht="18" x14ac:dyDescent="0.2">
      <c r="G87" s="171"/>
      <c r="H87" s="171"/>
      <c r="I87" s="173"/>
      <c r="J87" s="81"/>
      <c r="K87" s="81"/>
      <c r="L87" s="81"/>
      <c r="M87" s="81"/>
    </row>
    <row r="88" spans="1:13" ht="18" x14ac:dyDescent="0.2">
      <c r="G88" s="171"/>
      <c r="H88" s="171"/>
      <c r="I88" s="167"/>
      <c r="J88" s="81"/>
      <c r="K88" s="81"/>
      <c r="L88" s="81"/>
      <c r="M88" s="81"/>
    </row>
    <row r="89" spans="1:13" s="59" customFormat="1" x14ac:dyDescent="0.2">
      <c r="A89" s="56"/>
      <c r="B89" s="56"/>
      <c r="C89" s="56"/>
      <c r="D89" s="56"/>
      <c r="E89" s="56"/>
      <c r="F89" s="56"/>
      <c r="G89" s="57"/>
      <c r="H89" s="57"/>
      <c r="I89" s="57"/>
      <c r="J89" s="57"/>
      <c r="K89" s="57"/>
      <c r="L89" s="57"/>
      <c r="M89" s="57"/>
    </row>
    <row r="90" spans="1:13" s="59" customFormat="1" x14ac:dyDescent="0.2">
      <c r="A90" s="56"/>
      <c r="B90" s="56"/>
      <c r="C90" s="56"/>
      <c r="D90" s="56"/>
      <c r="E90" s="56"/>
      <c r="F90" s="56"/>
      <c r="G90" s="57"/>
      <c r="H90" s="57"/>
      <c r="I90" s="57"/>
      <c r="J90" s="57"/>
      <c r="K90" s="57"/>
      <c r="L90" s="57"/>
      <c r="M90" s="57"/>
    </row>
    <row r="91" spans="1:13" x14ac:dyDescent="0.2">
      <c r="G91" s="57"/>
      <c r="H91" s="57"/>
      <c r="I91" s="57"/>
      <c r="J91" s="57"/>
      <c r="K91" s="57"/>
      <c r="L91" s="57"/>
      <c r="M91" s="57"/>
    </row>
    <row r="92" spans="1:13" x14ac:dyDescent="0.2">
      <c r="G92" s="57"/>
      <c r="H92" s="57"/>
      <c r="I92" s="57"/>
      <c r="J92" s="57"/>
      <c r="K92" s="57"/>
      <c r="L92" s="57"/>
      <c r="M92" s="57"/>
    </row>
  </sheetData>
  <sheetProtection password="CC19" sheet="1" objects="1" scenarios="1"/>
  <mergeCells count="88">
    <mergeCell ref="G82:H82"/>
    <mergeCell ref="G84:H85"/>
    <mergeCell ref="I84:I85"/>
    <mergeCell ref="G86:H86"/>
    <mergeCell ref="G87:H88"/>
    <mergeCell ref="I87:I88"/>
    <mergeCell ref="G81:H81"/>
    <mergeCell ref="O57:P57"/>
    <mergeCell ref="R57:S57"/>
    <mergeCell ref="O61:P61"/>
    <mergeCell ref="R61:S61"/>
    <mergeCell ref="P74:S74"/>
    <mergeCell ref="G75:H75"/>
    <mergeCell ref="G76:H76"/>
    <mergeCell ref="G77:H77"/>
    <mergeCell ref="G78:H78"/>
    <mergeCell ref="G79:H79"/>
    <mergeCell ref="G80:H80"/>
    <mergeCell ref="P36:S36"/>
    <mergeCell ref="H31:J31"/>
    <mergeCell ref="M31:N31"/>
    <mergeCell ref="H32:I32"/>
    <mergeCell ref="M32:N32"/>
    <mergeCell ref="H33:I33"/>
    <mergeCell ref="M33:N33"/>
    <mergeCell ref="H34:I34"/>
    <mergeCell ref="J34:J35"/>
    <mergeCell ref="H35:I35"/>
    <mergeCell ref="O35:R35"/>
    <mergeCell ref="S35:T35"/>
    <mergeCell ref="O28:O29"/>
    <mergeCell ref="P28:P29"/>
    <mergeCell ref="Q28:Q29"/>
    <mergeCell ref="R28:R29"/>
    <mergeCell ref="S28:S29"/>
    <mergeCell ref="M30:N30"/>
    <mergeCell ref="M23:N23"/>
    <mergeCell ref="M24:N24"/>
    <mergeCell ref="M25:N25"/>
    <mergeCell ref="M26:N26"/>
    <mergeCell ref="M27:N27"/>
    <mergeCell ref="M28:N29"/>
    <mergeCell ref="M9:S9"/>
    <mergeCell ref="M10:S10"/>
    <mergeCell ref="N6:O7"/>
    <mergeCell ref="U15:V15"/>
    <mergeCell ref="A18:A19"/>
    <mergeCell ref="B18:B19"/>
    <mergeCell ref="R19:R21"/>
    <mergeCell ref="S19:S21"/>
    <mergeCell ref="O20:O21"/>
    <mergeCell ref="P20:P21"/>
    <mergeCell ref="Q20:Q21"/>
    <mergeCell ref="A21:A22"/>
    <mergeCell ref="B21:B22"/>
    <mergeCell ref="M22:N22"/>
    <mergeCell ref="I17:J17"/>
    <mergeCell ref="N17:O17"/>
    <mergeCell ref="N12:O12"/>
    <mergeCell ref="P12:P13"/>
    <mergeCell ref="Q12:R13"/>
    <mergeCell ref="N13:O13"/>
    <mergeCell ref="A6:A7"/>
    <mergeCell ref="B6:B7"/>
    <mergeCell ref="C6:C7"/>
    <mergeCell ref="D6:D7"/>
    <mergeCell ref="M6:M7"/>
    <mergeCell ref="Q6:Q7"/>
    <mergeCell ref="R6:S7"/>
    <mergeCell ref="E8:E11"/>
    <mergeCell ref="F8:F11"/>
    <mergeCell ref="I8:J8"/>
    <mergeCell ref="N8:O8"/>
    <mergeCell ref="R8:S8"/>
    <mergeCell ref="F2:G2"/>
    <mergeCell ref="B1:D2"/>
    <mergeCell ref="M2:O3"/>
    <mergeCell ref="Q2:T3"/>
    <mergeCell ref="A3:A4"/>
    <mergeCell ref="F3:G3"/>
    <mergeCell ref="I3:J3"/>
    <mergeCell ref="H4:I4"/>
    <mergeCell ref="M4:O5"/>
    <mergeCell ref="Q4:S5"/>
    <mergeCell ref="A1:A2"/>
    <mergeCell ref="F1:G1"/>
    <mergeCell ref="H1:H2"/>
    <mergeCell ref="I1:J2"/>
  </mergeCells>
  <dataValidations count="5">
    <dataValidation type="list" allowBlank="1" showInputMessage="1" showErrorMessage="1" sqref="D6:D7">
      <formula1>$I$18:$I$23</formula1>
    </dataValidation>
    <dataValidation type="list" allowBlank="1" showInputMessage="1" showErrorMessage="1" sqref="C10">
      <formula1>INDIRECT($C$8)</formula1>
    </dataValidation>
    <dataValidation type="list" allowBlank="1" showInputMessage="1" showErrorMessage="1" sqref="B10">
      <formula1>INDIRECT($B$8)</formula1>
    </dataValidation>
    <dataValidation type="list" allowBlank="1" showInputMessage="1" showErrorMessage="1" sqref="D10">
      <formula1>INDIRECT($D$8)</formula1>
    </dataValidation>
    <dataValidation type="list" allowBlank="1" showInputMessage="1" showErrorMessage="1" sqref="A3:A4">
      <formula1>"بياني,بياني مستودع"</formula1>
    </dataValidation>
  </dataValidations>
  <pageMargins left="0.7" right="0.7" top="0.75" bottom="0.75" header="0.3" footer="0.3"/>
  <pageSetup paperSize="9" scale="1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 macro="[2]!طباعة2">
                <anchor moveWithCells="1" sizeWithCells="1">
                  <from>
                    <xdr:col>2</xdr:col>
                    <xdr:colOff>161925</xdr:colOff>
                    <xdr:row>18</xdr:row>
                    <xdr:rowOff>28575</xdr:rowOff>
                  </from>
                  <to>
                    <xdr:col>3</xdr:col>
                    <xdr:colOff>323850</xdr:colOff>
                    <xdr:row>20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'[1]اسماء مهندسي المكاتب '!#REF!</xm:f>
          </x14:formula1>
          <xm:sqref>B8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D8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C8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D11</xm:sqref>
        </x14:dataValidation>
        <x14:dataValidation type="list" allowBlank="1" showInputMessage="1" showErrorMessage="1">
          <x14:formula1>
            <xm:f>'اسماء مهندسي المكاتب'!$E$7:$E$17</xm:f>
          </x14:formula1>
          <xm:sqref>B9</xm:sqref>
        </x14:dataValidation>
        <x14:dataValidation type="list" allowBlank="1" showInputMessage="1" showErrorMessage="1">
          <x14:formula1>
            <xm:f>'اسماء مهندسي المكاتب'!$H$7:$H$12</xm:f>
          </x14:formula1>
          <xm:sqref>C9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B11 C11</xm:sqref>
        </x14:dataValidation>
        <x14:dataValidation type="list" allowBlank="1" showInputMessage="1" showErrorMessage="1">
          <x14:formula1>
            <xm:f>'اسماء مهندسي المكاتب'!$J$7:$J$11</xm:f>
          </x14:formula1>
          <xm:sqref>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17"/>
  <sheetViews>
    <sheetView rightToLeft="1" topLeftCell="A2" workbookViewId="0">
      <selection activeCell="J8" sqref="J8:J11"/>
    </sheetView>
  </sheetViews>
  <sheetFormatPr defaultRowHeight="14.25" x14ac:dyDescent="0.2"/>
  <cols>
    <col min="1" max="1" width="28.75" customWidth="1"/>
    <col min="5" max="5" width="16" bestFit="1" customWidth="1"/>
    <col min="8" max="8" width="14.75" bestFit="1" customWidth="1"/>
    <col min="10" max="10" width="13.5" bestFit="1" customWidth="1"/>
  </cols>
  <sheetData>
    <row r="6" spans="1:10" ht="26.25" x14ac:dyDescent="0.4">
      <c r="E6" s="4" t="s">
        <v>6</v>
      </c>
      <c r="F6" s="5"/>
      <c r="G6" s="5"/>
      <c r="H6" s="4" t="s">
        <v>18</v>
      </c>
      <c r="I6" s="5"/>
      <c r="J6" s="4" t="s">
        <v>5</v>
      </c>
    </row>
    <row r="7" spans="1:10" ht="18" x14ac:dyDescent="0.25">
      <c r="E7" s="1" t="s">
        <v>7</v>
      </c>
      <c r="H7" s="3" t="s">
        <v>19</v>
      </c>
      <c r="J7" s="2" t="s">
        <v>25</v>
      </c>
    </row>
    <row r="8" spans="1:10" ht="18" x14ac:dyDescent="0.25">
      <c r="A8" s="2" t="s">
        <v>30</v>
      </c>
      <c r="E8" s="1" t="s">
        <v>8</v>
      </c>
      <c r="H8" s="3" t="s">
        <v>20</v>
      </c>
      <c r="J8" s="2" t="s">
        <v>26</v>
      </c>
    </row>
    <row r="9" spans="1:10" ht="18" x14ac:dyDescent="0.25">
      <c r="A9" s="2" t="s">
        <v>31</v>
      </c>
      <c r="E9" s="1" t="s">
        <v>9</v>
      </c>
      <c r="H9" s="3" t="s">
        <v>21</v>
      </c>
      <c r="J9" s="2" t="s">
        <v>27</v>
      </c>
    </row>
    <row r="10" spans="1:10" ht="18" x14ac:dyDescent="0.25">
      <c r="E10" s="1" t="s">
        <v>10</v>
      </c>
      <c r="H10" s="3" t="s">
        <v>22</v>
      </c>
      <c r="J10" s="2" t="s">
        <v>28</v>
      </c>
    </row>
    <row r="11" spans="1:10" ht="18" x14ac:dyDescent="0.25">
      <c r="E11" s="1" t="s">
        <v>11</v>
      </c>
      <c r="H11" s="3" t="s">
        <v>23</v>
      </c>
      <c r="J11" s="2" t="s">
        <v>29</v>
      </c>
    </row>
    <row r="12" spans="1:10" ht="18" x14ac:dyDescent="0.25">
      <c r="E12" s="1" t="s">
        <v>12</v>
      </c>
      <c r="H12" s="3" t="s">
        <v>24</v>
      </c>
    </row>
    <row r="13" spans="1:10" ht="15.75" x14ac:dyDescent="0.25">
      <c r="E13" s="1" t="s">
        <v>13</v>
      </c>
    </row>
    <row r="14" spans="1:10" ht="15.75" x14ac:dyDescent="0.25">
      <c r="E14" s="1" t="s">
        <v>14</v>
      </c>
    </row>
    <row r="15" spans="1:10" ht="15.75" x14ac:dyDescent="0.25">
      <c r="E15" s="1" t="s">
        <v>15</v>
      </c>
    </row>
    <row r="16" spans="1:10" ht="15.75" x14ac:dyDescent="0.25">
      <c r="E16" s="1" t="s">
        <v>16</v>
      </c>
    </row>
    <row r="17" spans="5:5" ht="15.75" x14ac:dyDescent="0.25">
      <c r="E1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بياني1</vt:lpstr>
      <vt:lpstr>بياني2</vt:lpstr>
      <vt:lpstr>بياني3</vt:lpstr>
      <vt:lpstr>اسماء مهندسي المكاتب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ISe7en</dc:creator>
  <cp:lastModifiedBy>berivan </cp:lastModifiedBy>
  <cp:lastPrinted>2025-07-03T09:13:04Z</cp:lastPrinted>
  <dcterms:created xsi:type="dcterms:W3CDTF">2024-08-18T15:13:55Z</dcterms:created>
  <dcterms:modified xsi:type="dcterms:W3CDTF">2026-07-08T07:12:06Z</dcterms:modified>
</cp:coreProperties>
</file>